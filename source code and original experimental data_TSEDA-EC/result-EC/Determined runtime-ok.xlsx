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投稿论文\面向能耗的调度优化\ITPDS-EC\result-ec-ok\"/>
    </mc:Choice>
  </mc:AlternateContent>
  <bookViews>
    <workbookView xWindow="0" yWindow="0" windowWidth="16380" windowHeight="8190" tabRatio="991"/>
  </bookViews>
  <sheets>
    <sheet name="rt" sheetId="1" r:id="rId1"/>
    <sheet name="Original data" sheetId="3" r:id="rId2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11" i="1" l="1"/>
  <c r="O11" i="1"/>
  <c r="N11" i="1"/>
  <c r="K11" i="1" s="1"/>
  <c r="M11" i="1"/>
  <c r="L11" i="1"/>
  <c r="P10" i="1"/>
  <c r="O10" i="1"/>
  <c r="N10" i="1"/>
  <c r="M10" i="1"/>
  <c r="L10" i="1"/>
  <c r="K10" i="1" s="1"/>
  <c r="P9" i="1"/>
  <c r="O9" i="1"/>
  <c r="N9" i="1"/>
  <c r="K9" i="1" s="1"/>
  <c r="M9" i="1"/>
  <c r="L9" i="1"/>
  <c r="P8" i="1"/>
  <c r="O8" i="1"/>
  <c r="N8" i="1"/>
  <c r="M8" i="1"/>
  <c r="L8" i="1"/>
  <c r="K8" i="1" s="1"/>
  <c r="P7" i="1"/>
  <c r="O7" i="1"/>
  <c r="N7" i="1"/>
  <c r="K7" i="1" s="1"/>
  <c r="M7" i="1"/>
  <c r="L7" i="1"/>
  <c r="P6" i="1"/>
  <c r="O6" i="1"/>
  <c r="N6" i="1"/>
  <c r="M6" i="1"/>
  <c r="L6" i="1"/>
  <c r="K6" i="1" s="1"/>
  <c r="P5" i="1"/>
  <c r="O5" i="1"/>
  <c r="N5" i="1"/>
  <c r="K5" i="1" s="1"/>
  <c r="M5" i="1"/>
  <c r="L5" i="1"/>
  <c r="P4" i="1"/>
  <c r="O4" i="1"/>
  <c r="N4" i="1"/>
  <c r="M4" i="1"/>
  <c r="L4" i="1"/>
  <c r="K4" i="1" s="1"/>
  <c r="P3" i="1"/>
  <c r="O3" i="1"/>
  <c r="N3" i="1"/>
  <c r="K3" i="1" s="1"/>
  <c r="M3" i="1"/>
  <c r="L3" i="1"/>
  <c r="P2" i="1"/>
  <c r="O2" i="1"/>
  <c r="N2" i="1"/>
  <c r="M2" i="1"/>
  <c r="L2" i="1"/>
  <c r="P1" i="1"/>
  <c r="O1" i="1"/>
  <c r="N1" i="1"/>
  <c r="M1" i="1"/>
  <c r="L1" i="1"/>
  <c r="K12" i="1" l="1"/>
</calcChain>
</file>

<file path=xl/sharedStrings.xml><?xml version="1.0" encoding="utf-8"?>
<sst xmlns="http://schemas.openxmlformats.org/spreadsheetml/2006/main" count="225" uniqueCount="21">
  <si>
    <t>HGA</t>
  </si>
  <si>
    <t>NGA</t>
  </si>
  <si>
    <t>LWSGA</t>
  </si>
  <si>
    <t>ADBRKGA</t>
  </si>
  <si>
    <t>HPSO</t>
  </si>
  <si>
    <t>max-rt</t>
  </si>
  <si>
    <t>rt</t>
  </si>
  <si>
    <t>Epigenomics</t>
  </si>
  <si>
    <t>E-S-01.0</t>
  </si>
  <si>
    <t>E-M-1.0</t>
  </si>
  <si>
    <t>E-L-1.0</t>
  </si>
  <si>
    <t>L-S-1.0</t>
  </si>
  <si>
    <t>L-M-1.0</t>
  </si>
  <si>
    <t>L-L-1.0</t>
  </si>
  <si>
    <t>M-S-1.0</t>
  </si>
  <si>
    <t>M-M-1.0</t>
  </si>
  <si>
    <t>M-L-1.0</t>
  </si>
  <si>
    <t>Ligo</t>
  </si>
  <si>
    <t>Montage</t>
  </si>
  <si>
    <t>ec</t>
  </si>
  <si>
    <t>itr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</si>
</sst>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_ "/>
  </numFmts>
  <fonts count="8" x14ac:knownFonts="1">
    <font>
      <sz val="11"/>
      <color rgb="FF000000"/>
      <name val="等线"/>
      <family val="2"/>
      <charset val="134"/>
    </font>
    <font>
      <sz val="11"/>
      <name val="等线"/>
      <family val="2"/>
      <charset val="134"/>
    </font>
    <font>
      <sz val="11"/>
      <color rgb="FFFF0000"/>
      <name val="等线"/>
      <family val="2"/>
      <charset val="134"/>
    </font>
    <font>
      <sz val="11"/>
      <color rgb="FFFF0000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rgb="FF000000"/>
      <name val="Times New Roman"/>
      <family val="1"/>
      <charset val="1"/>
    </font>
    <font>
      <sz val="11"/>
      <name val="等线"/>
      <family val="3"/>
      <charset val="134"/>
    </font>
    <font>
      <sz val="9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176" fontId="2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176" fontId="3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2"/>
  <sheetViews>
    <sheetView tabSelected="1" zoomScale="75" zoomScaleNormal="75" workbookViewId="0">
      <selection activeCell="K4" sqref="K4"/>
    </sheetView>
  </sheetViews>
  <sheetFormatPr defaultRowHeight="14.25" x14ac:dyDescent="0.2"/>
  <cols>
    <col min="1" max="1" width="12.875" style="1"/>
    <col min="2" max="2" width="4.5" style="1"/>
    <col min="3" max="3" width="2.25" style="1"/>
    <col min="4" max="4" width="9" style="1"/>
    <col min="5" max="5" width="7.75" style="1"/>
    <col min="6" max="6" width="9" style="1"/>
    <col min="7" max="7" width="8.625" style="1"/>
    <col min="8" max="8" width="9" style="1"/>
    <col min="9" max="9" width="9.125"/>
    <col min="10" max="10" width="9" style="2"/>
    <col min="11" max="11" width="7.375" style="3"/>
    <col min="12" max="12" width="8.625" style="1"/>
    <col min="13" max="13" width="7.625" style="1"/>
    <col min="14" max="14" width="8.125" style="1"/>
    <col min="15" max="15" width="9.125" style="1"/>
    <col min="16" max="16" width="8.75" style="1"/>
    <col min="17" max="18" width="9.75" style="1"/>
    <col min="19" max="1025" width="9.375"/>
  </cols>
  <sheetData>
    <row r="1" spans="1:1024" s="4" customFormat="1" x14ac:dyDescent="0.2"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K1" s="6" t="s">
        <v>5</v>
      </c>
      <c r="L1" s="7" t="str">
        <f t="shared" ref="L1:P2" si="0">D1</f>
        <v>HGA</v>
      </c>
      <c r="M1" s="7" t="str">
        <f t="shared" si="0"/>
        <v>NGA</v>
      </c>
      <c r="N1" s="7" t="str">
        <f t="shared" si="0"/>
        <v>LWSGA</v>
      </c>
      <c r="O1" s="7" t="str">
        <f t="shared" si="0"/>
        <v>ADBRKGA</v>
      </c>
      <c r="P1" s="7" t="str">
        <f t="shared" si="0"/>
        <v>HPSO</v>
      </c>
      <c r="Q1" s="7"/>
      <c r="R1" s="7"/>
      <c r="AMJ1"/>
    </row>
    <row r="2" spans="1:1024" x14ac:dyDescent="0.2">
      <c r="A2" s="4"/>
      <c r="B2" s="4"/>
      <c r="C2" s="4"/>
      <c r="D2" s="5" t="s">
        <v>6</v>
      </c>
      <c r="E2" s="5" t="s">
        <v>6</v>
      </c>
      <c r="F2" s="5" t="s">
        <v>6</v>
      </c>
      <c r="G2" s="5" t="s">
        <v>6</v>
      </c>
      <c r="H2" s="5" t="s">
        <v>6</v>
      </c>
      <c r="I2" s="5"/>
      <c r="J2" s="4"/>
      <c r="K2" s="6"/>
      <c r="L2" s="5" t="str">
        <f t="shared" si="0"/>
        <v>rt</v>
      </c>
      <c r="M2" s="5" t="str">
        <f t="shared" si="0"/>
        <v>rt</v>
      </c>
      <c r="N2" s="5" t="str">
        <f t="shared" si="0"/>
        <v>rt</v>
      </c>
      <c r="O2" s="5" t="str">
        <f t="shared" si="0"/>
        <v>rt</v>
      </c>
      <c r="P2" s="5" t="str">
        <f t="shared" si="0"/>
        <v>rt</v>
      </c>
      <c r="Q2" s="5"/>
      <c r="R2" s="5"/>
    </row>
    <row r="3" spans="1:1024" ht="15" x14ac:dyDescent="0.2">
      <c r="A3" t="s">
        <v>7</v>
      </c>
      <c r="B3">
        <v>24</v>
      </c>
      <c r="C3">
        <v>1</v>
      </c>
      <c r="D3">
        <v>1.7593000000000001</v>
      </c>
      <c r="E3">
        <v>0.20530000000000001</v>
      </c>
      <c r="F3">
        <v>0.7298</v>
      </c>
      <c r="G3">
        <v>0.51500000000000001</v>
      </c>
      <c r="H3">
        <v>0.27889999999999998</v>
      </c>
      <c r="J3" s="8" t="s">
        <v>8</v>
      </c>
      <c r="K3" s="9">
        <f t="shared" ref="K3:K11" si="1">MAX(L3:P3)</f>
        <v>1.2346200000000001</v>
      </c>
      <c r="L3" s="10">
        <f>AVERAGE(D3:D12)</f>
        <v>1.2346200000000001</v>
      </c>
      <c r="M3" s="10">
        <f>AVERAGE(E3:E12)</f>
        <v>0.18517999999999998</v>
      </c>
      <c r="N3" s="10">
        <f>AVERAGE(F3:F12)</f>
        <v>0.79527999999999988</v>
      </c>
      <c r="O3" s="10">
        <f>AVERAGE(G3:G12)</f>
        <v>0.37539</v>
      </c>
      <c r="P3" s="10">
        <f>AVERAGE(H3:H12)</f>
        <v>0.33381999999999995</v>
      </c>
      <c r="Q3" s="11"/>
      <c r="R3" s="11"/>
    </row>
    <row r="4" spans="1:1024" ht="15" x14ac:dyDescent="0.2">
      <c r="A4" t="s">
        <v>7</v>
      </c>
      <c r="B4">
        <v>24</v>
      </c>
      <c r="C4">
        <v>1</v>
      </c>
      <c r="D4">
        <v>1.1588000000000001</v>
      </c>
      <c r="E4">
        <v>0.1168</v>
      </c>
      <c r="F4">
        <v>0.95489999999999997</v>
      </c>
      <c r="G4">
        <v>0.2636</v>
      </c>
      <c r="H4">
        <v>0.45150000000000001</v>
      </c>
      <c r="J4" s="8" t="s">
        <v>9</v>
      </c>
      <c r="K4" s="9">
        <f t="shared" si="1"/>
        <v>4.1385199999999998</v>
      </c>
      <c r="L4" s="10">
        <f>AVERAGE(D13:D22)</f>
        <v>4.1385199999999998</v>
      </c>
      <c r="M4" s="10">
        <f>AVERAGE(E13:E22)</f>
        <v>0.93892000000000009</v>
      </c>
      <c r="N4" s="10">
        <f>AVERAGE(F13:F22)</f>
        <v>2.4567999999999999</v>
      </c>
      <c r="O4" s="10">
        <f>AVERAGE(G13:G22)</f>
        <v>1.7541</v>
      </c>
      <c r="P4" s="10">
        <f>AVERAGE(H13:H22)</f>
        <v>1.1418899999999998</v>
      </c>
      <c r="Q4" s="11"/>
      <c r="R4" s="11"/>
    </row>
    <row r="5" spans="1:1024" ht="15" x14ac:dyDescent="0.2">
      <c r="A5" t="s">
        <v>7</v>
      </c>
      <c r="B5">
        <v>24</v>
      </c>
      <c r="C5">
        <v>1</v>
      </c>
      <c r="D5">
        <v>1.7605999999999999</v>
      </c>
      <c r="E5">
        <v>0.2908</v>
      </c>
      <c r="F5">
        <v>0.93189999999999995</v>
      </c>
      <c r="G5">
        <v>0.50049999999999994</v>
      </c>
      <c r="H5">
        <v>0.30740000000000001</v>
      </c>
      <c r="J5" s="8" t="s">
        <v>10</v>
      </c>
      <c r="K5" s="9">
        <f t="shared" si="1"/>
        <v>22.057169999999999</v>
      </c>
      <c r="L5" s="10">
        <f>AVERAGE(D23:D32)</f>
        <v>22.057169999999999</v>
      </c>
      <c r="M5" s="10">
        <f>AVERAGE(E23:E32)</f>
        <v>2.3105099999999998</v>
      </c>
      <c r="N5" s="10">
        <f>AVERAGE(F23:F32)</f>
        <v>16.684329999999999</v>
      </c>
      <c r="O5" s="10">
        <f>AVERAGE(G23:G32)</f>
        <v>8.1142399999999988</v>
      </c>
      <c r="P5" s="10">
        <f>AVERAGE(H23:H32)</f>
        <v>2.8030200000000001</v>
      </c>
      <c r="Q5" s="11"/>
      <c r="R5" s="11"/>
    </row>
    <row r="6" spans="1:1024" ht="15" x14ac:dyDescent="0.2">
      <c r="A6" t="s">
        <v>7</v>
      </c>
      <c r="B6">
        <v>24</v>
      </c>
      <c r="C6">
        <v>1</v>
      </c>
      <c r="D6">
        <v>1.5575000000000001</v>
      </c>
      <c r="E6">
        <v>0.1167</v>
      </c>
      <c r="F6">
        <v>0.86909999999999998</v>
      </c>
      <c r="G6">
        <v>0.42330000000000001</v>
      </c>
      <c r="H6">
        <v>0.24429999999999999</v>
      </c>
      <c r="J6" s="8" t="s">
        <v>11</v>
      </c>
      <c r="K6" s="9">
        <f t="shared" si="1"/>
        <v>1.3456600000000001</v>
      </c>
      <c r="L6" s="10">
        <f>AVERAGE(D33:D42)</f>
        <v>1.3456600000000001</v>
      </c>
      <c r="M6" s="10">
        <f>AVERAGE(E33:E42)</f>
        <v>0.79598000000000002</v>
      </c>
      <c r="N6" s="10">
        <f>AVERAGE(F33:F42)</f>
        <v>1.1003400000000001</v>
      </c>
      <c r="O6" s="10">
        <f>AVERAGE(G33:G42)</f>
        <v>1.34554</v>
      </c>
      <c r="P6" s="10">
        <f>AVERAGE(H33:H42)</f>
        <v>0.45211000000000007</v>
      </c>
      <c r="Q6" s="11"/>
      <c r="R6" s="11"/>
    </row>
    <row r="7" spans="1:1024" ht="15" x14ac:dyDescent="0.2">
      <c r="A7" t="s">
        <v>7</v>
      </c>
      <c r="B7">
        <v>24</v>
      </c>
      <c r="C7">
        <v>1</v>
      </c>
      <c r="D7">
        <v>1.3664000000000001</v>
      </c>
      <c r="E7">
        <v>0.11840000000000001</v>
      </c>
      <c r="F7">
        <v>0.86050000000000004</v>
      </c>
      <c r="G7">
        <v>0.2094</v>
      </c>
      <c r="H7">
        <v>0.33179999999999998</v>
      </c>
      <c r="J7" s="8" t="s">
        <v>12</v>
      </c>
      <c r="K7" s="9">
        <f t="shared" si="1"/>
        <v>3.0318599999999996</v>
      </c>
      <c r="L7" s="10">
        <f>AVERAGE(D43:D52)</f>
        <v>3.0318599999999996</v>
      </c>
      <c r="M7" s="10">
        <f>AVERAGE(E43:E52)</f>
        <v>0.99236999999999997</v>
      </c>
      <c r="N7" s="10">
        <f>AVERAGE(F43:F52)</f>
        <v>2.0513699999999999</v>
      </c>
      <c r="O7" s="10">
        <f>AVERAGE(G43:G52)</f>
        <v>2.6745899999999998</v>
      </c>
      <c r="P7" s="10">
        <f>AVERAGE(H43:H52)</f>
        <v>0.71725000000000005</v>
      </c>
      <c r="Q7" s="11"/>
      <c r="R7" s="11"/>
    </row>
    <row r="8" spans="1:1024" ht="15" x14ac:dyDescent="0.2">
      <c r="A8" t="s">
        <v>7</v>
      </c>
      <c r="B8">
        <v>24</v>
      </c>
      <c r="C8">
        <v>1</v>
      </c>
      <c r="D8">
        <v>0.82830000000000004</v>
      </c>
      <c r="E8">
        <v>0.13320000000000001</v>
      </c>
      <c r="F8">
        <v>0.64949999999999997</v>
      </c>
      <c r="G8">
        <v>0.51790000000000003</v>
      </c>
      <c r="H8">
        <v>0.39710000000000001</v>
      </c>
      <c r="J8" s="8" t="s">
        <v>13</v>
      </c>
      <c r="K8" s="9">
        <f t="shared" si="1"/>
        <v>11.675269999999999</v>
      </c>
      <c r="L8" s="10">
        <f>AVERAGE(D53:D62)</f>
        <v>11.675269999999999</v>
      </c>
      <c r="M8" s="10">
        <f>AVERAGE(E53:E62)</f>
        <v>2.5674999999999999</v>
      </c>
      <c r="N8" s="10">
        <f>AVERAGE(F53:F62)</f>
        <v>7.46584</v>
      </c>
      <c r="O8" s="10">
        <f>AVERAGE(G53:G62)</f>
        <v>8.5170999999999992</v>
      </c>
      <c r="P8" s="10">
        <f>AVERAGE(H53:H62)</f>
        <v>2.1499300000000003</v>
      </c>
      <c r="Q8" s="11"/>
      <c r="R8" s="11"/>
    </row>
    <row r="9" spans="1:1024" ht="15" x14ac:dyDescent="0.2">
      <c r="A9" t="s">
        <v>7</v>
      </c>
      <c r="B9">
        <v>24</v>
      </c>
      <c r="C9">
        <v>1</v>
      </c>
      <c r="D9">
        <v>0.93200000000000005</v>
      </c>
      <c r="E9">
        <v>0.22170000000000001</v>
      </c>
      <c r="F9">
        <v>0.69989999999999997</v>
      </c>
      <c r="G9">
        <v>0.35630000000000001</v>
      </c>
      <c r="H9">
        <v>0.44409999999999999</v>
      </c>
      <c r="J9" s="8" t="s">
        <v>14</v>
      </c>
      <c r="K9" s="9">
        <f t="shared" si="1"/>
        <v>0.90107999999999999</v>
      </c>
      <c r="L9" s="10">
        <f>AVERAGE(D63:D72)</f>
        <v>0.81363000000000008</v>
      </c>
      <c r="M9" s="10">
        <f>AVERAGE(E63:E72)</f>
        <v>0.43036000000000002</v>
      </c>
      <c r="N9" s="10">
        <f>AVERAGE(F63:F72)</f>
        <v>0.90107999999999999</v>
      </c>
      <c r="O9" s="10">
        <f>AVERAGE(G63:G72)</f>
        <v>0.70706000000000002</v>
      </c>
      <c r="P9" s="10">
        <f>AVERAGE(H63:H72)</f>
        <v>0.16897000000000001</v>
      </c>
      <c r="Q9" s="11"/>
      <c r="R9" s="11"/>
    </row>
    <row r="10" spans="1:1024" ht="15" x14ac:dyDescent="0.2">
      <c r="A10" t="s">
        <v>7</v>
      </c>
      <c r="B10">
        <v>24</v>
      </c>
      <c r="C10">
        <v>1</v>
      </c>
      <c r="D10">
        <v>0.71760000000000002</v>
      </c>
      <c r="E10">
        <v>0.2127</v>
      </c>
      <c r="F10">
        <v>0.58740000000000003</v>
      </c>
      <c r="G10">
        <v>0.21529999999999999</v>
      </c>
      <c r="H10">
        <v>0.2984</v>
      </c>
      <c r="J10" s="8" t="s">
        <v>15</v>
      </c>
      <c r="K10" s="9">
        <f t="shared" si="1"/>
        <v>3.3668</v>
      </c>
      <c r="L10" s="10">
        <f>AVERAGE(D73:D82)</f>
        <v>2.0151499999999998</v>
      </c>
      <c r="M10" s="10">
        <f>AVERAGE(E73:E82)</f>
        <v>1.0042599999999999</v>
      </c>
      <c r="N10" s="10">
        <f>AVERAGE(F73:F82)</f>
        <v>1.6224000000000001</v>
      </c>
      <c r="O10" s="10">
        <f>AVERAGE(G73:G82)</f>
        <v>3.3668</v>
      </c>
      <c r="P10" s="10">
        <f>AVERAGE(H73:H82)</f>
        <v>0.50731000000000004</v>
      </c>
      <c r="Q10" s="11"/>
      <c r="R10" s="11"/>
    </row>
    <row r="11" spans="1:1024" ht="15" x14ac:dyDescent="0.2">
      <c r="A11" t="s">
        <v>7</v>
      </c>
      <c r="B11">
        <v>24</v>
      </c>
      <c r="C11">
        <v>1</v>
      </c>
      <c r="D11">
        <v>0.88660000000000005</v>
      </c>
      <c r="E11">
        <v>0.2465</v>
      </c>
      <c r="F11">
        <v>1.0517000000000001</v>
      </c>
      <c r="G11">
        <v>0.47420000000000001</v>
      </c>
      <c r="H11">
        <v>0.31230000000000002</v>
      </c>
      <c r="J11" s="8" t="s">
        <v>16</v>
      </c>
      <c r="K11" s="9">
        <f t="shared" si="1"/>
        <v>11.308910000000001</v>
      </c>
      <c r="L11" s="10">
        <f>AVERAGE(D83:D92)</f>
        <v>7.4638800000000005</v>
      </c>
      <c r="M11" s="10">
        <f>AVERAGE(E83:E92)</f>
        <v>2.77407</v>
      </c>
      <c r="N11" s="10">
        <f>AVERAGE(F83:F92)</f>
        <v>6.3251500000000007</v>
      </c>
      <c r="O11" s="10">
        <f>AVERAGE(G83:G92)</f>
        <v>11.308910000000001</v>
      </c>
      <c r="P11" s="10">
        <f>AVERAGE(H83:H92)</f>
        <v>2.1153500000000003</v>
      </c>
      <c r="Q11" s="11"/>
      <c r="R11" s="11"/>
    </row>
    <row r="12" spans="1:1024" x14ac:dyDescent="0.2">
      <c r="A12" t="s">
        <v>7</v>
      </c>
      <c r="B12">
        <v>24</v>
      </c>
      <c r="C12">
        <v>1</v>
      </c>
      <c r="D12">
        <v>1.3791</v>
      </c>
      <c r="E12">
        <v>0.18970000000000001</v>
      </c>
      <c r="F12">
        <v>0.61809999999999998</v>
      </c>
      <c r="G12">
        <v>0.27839999999999998</v>
      </c>
      <c r="H12">
        <v>0.27239999999999998</v>
      </c>
      <c r="K12" s="9">
        <f>SUM(K3:K11)</f>
        <v>59.059889999999996</v>
      </c>
      <c r="L12" s="11"/>
      <c r="M12" s="11"/>
      <c r="N12" s="11"/>
      <c r="O12" s="11"/>
      <c r="P12" s="11"/>
      <c r="Q12" s="11"/>
      <c r="R12" s="11"/>
    </row>
    <row r="13" spans="1:1024" x14ac:dyDescent="0.2">
      <c r="A13" t="s">
        <v>7</v>
      </c>
      <c r="B13">
        <v>47</v>
      </c>
      <c r="C13">
        <v>1</v>
      </c>
      <c r="D13">
        <v>3.9655999999999998</v>
      </c>
      <c r="E13">
        <v>1.5234000000000001</v>
      </c>
      <c r="F13">
        <v>2.7389999999999999</v>
      </c>
      <c r="G13">
        <v>3.1408999999999998</v>
      </c>
      <c r="H13">
        <v>1.9419999999999999</v>
      </c>
      <c r="K13" s="9"/>
      <c r="L13" s="11"/>
      <c r="M13" s="11"/>
      <c r="N13" s="11"/>
      <c r="O13" s="11"/>
      <c r="P13" s="11"/>
      <c r="Q13" s="11"/>
      <c r="R13" s="11"/>
    </row>
    <row r="14" spans="1:1024" x14ac:dyDescent="0.2">
      <c r="A14" t="s">
        <v>7</v>
      </c>
      <c r="B14">
        <v>47</v>
      </c>
      <c r="C14">
        <v>1</v>
      </c>
      <c r="D14">
        <v>4.2831000000000001</v>
      </c>
      <c r="E14">
        <v>0.91579999999999995</v>
      </c>
      <c r="F14">
        <v>3.8704000000000001</v>
      </c>
      <c r="G14">
        <v>0.96340000000000003</v>
      </c>
      <c r="H14">
        <v>0.76</v>
      </c>
      <c r="K14" s="9"/>
      <c r="L14" s="11"/>
      <c r="M14" s="11"/>
      <c r="N14" s="11"/>
      <c r="O14" s="11"/>
      <c r="P14" s="11"/>
      <c r="Q14" s="11"/>
      <c r="R14" s="11"/>
    </row>
    <row r="15" spans="1:1024" x14ac:dyDescent="0.2">
      <c r="A15" t="s">
        <v>7</v>
      </c>
      <c r="B15">
        <v>47</v>
      </c>
      <c r="C15">
        <v>1</v>
      </c>
      <c r="D15">
        <v>3.96</v>
      </c>
      <c r="E15">
        <v>0.86339999999999995</v>
      </c>
      <c r="F15">
        <v>1.6834</v>
      </c>
      <c r="G15">
        <v>0.88700000000000001</v>
      </c>
      <c r="H15">
        <v>1.7196</v>
      </c>
      <c r="K15" s="9"/>
      <c r="L15" s="11"/>
      <c r="M15" s="11"/>
      <c r="N15" s="11"/>
      <c r="O15" s="11"/>
      <c r="P15" s="11"/>
      <c r="Q15" s="11"/>
      <c r="R15" s="11"/>
    </row>
    <row r="16" spans="1:1024" x14ac:dyDescent="0.2">
      <c r="A16" t="s">
        <v>7</v>
      </c>
      <c r="B16">
        <v>47</v>
      </c>
      <c r="C16">
        <v>1</v>
      </c>
      <c r="D16">
        <v>4.2868000000000004</v>
      </c>
      <c r="E16">
        <v>0.80179999999999996</v>
      </c>
      <c r="F16">
        <v>3.3496999999999999</v>
      </c>
      <c r="G16">
        <v>0.96970000000000001</v>
      </c>
      <c r="H16">
        <v>1.8002</v>
      </c>
      <c r="K16" s="9"/>
      <c r="L16" s="2"/>
      <c r="M16" s="11"/>
      <c r="N16" s="11"/>
      <c r="O16" s="12"/>
      <c r="P16" s="11"/>
      <c r="Q16" s="11"/>
      <c r="R16" s="11"/>
    </row>
    <row r="17" spans="1:18" x14ac:dyDescent="0.2">
      <c r="A17" t="s">
        <v>7</v>
      </c>
      <c r="B17">
        <v>47</v>
      </c>
      <c r="C17">
        <v>1</v>
      </c>
      <c r="D17">
        <v>5.0354999999999999</v>
      </c>
      <c r="E17">
        <v>0.51349999999999996</v>
      </c>
      <c r="F17">
        <v>3.5935000000000001</v>
      </c>
      <c r="G17">
        <v>3.1798000000000002</v>
      </c>
      <c r="H17">
        <v>0.63560000000000005</v>
      </c>
      <c r="K17" s="9"/>
      <c r="L17" s="2"/>
      <c r="M17" s="11"/>
      <c r="N17" s="11"/>
      <c r="O17" s="12"/>
      <c r="P17" s="11"/>
      <c r="Q17" s="11"/>
      <c r="R17" s="11"/>
    </row>
    <row r="18" spans="1:18" x14ac:dyDescent="0.2">
      <c r="A18" t="s">
        <v>7</v>
      </c>
      <c r="B18">
        <v>47</v>
      </c>
      <c r="C18">
        <v>1</v>
      </c>
      <c r="D18">
        <v>4.0366999999999997</v>
      </c>
      <c r="E18">
        <v>0.71740000000000004</v>
      </c>
      <c r="F18">
        <v>2.2972000000000001</v>
      </c>
      <c r="G18">
        <v>4.6116000000000001</v>
      </c>
      <c r="H18">
        <v>0.73419999999999996</v>
      </c>
      <c r="K18" s="9"/>
      <c r="L18" s="2"/>
      <c r="M18" s="11"/>
      <c r="N18" s="11"/>
      <c r="O18" s="12"/>
      <c r="P18" s="11"/>
      <c r="Q18" s="11"/>
      <c r="R18" s="11"/>
    </row>
    <row r="19" spans="1:18" x14ac:dyDescent="0.2">
      <c r="A19" t="s">
        <v>7</v>
      </c>
      <c r="B19">
        <v>47</v>
      </c>
      <c r="C19">
        <v>1</v>
      </c>
      <c r="D19">
        <v>2.9357000000000002</v>
      </c>
      <c r="E19">
        <v>1.1959</v>
      </c>
      <c r="F19">
        <v>2.1131000000000002</v>
      </c>
      <c r="G19">
        <v>1.0206</v>
      </c>
      <c r="H19">
        <v>0.72130000000000005</v>
      </c>
      <c r="K19" s="9"/>
      <c r="L19" s="2"/>
      <c r="M19" s="11"/>
      <c r="N19" s="11"/>
      <c r="O19" s="12"/>
      <c r="P19" s="11"/>
      <c r="Q19" s="11"/>
      <c r="R19" s="11"/>
    </row>
    <row r="20" spans="1:18" x14ac:dyDescent="0.2">
      <c r="A20" t="s">
        <v>7</v>
      </c>
      <c r="B20">
        <v>47</v>
      </c>
      <c r="C20">
        <v>1</v>
      </c>
      <c r="D20">
        <v>3.2856999999999998</v>
      </c>
      <c r="E20">
        <v>0.61519999999999997</v>
      </c>
      <c r="F20">
        <v>1.6187</v>
      </c>
      <c r="G20">
        <v>1.0993999999999999</v>
      </c>
      <c r="H20">
        <v>0.54339999999999999</v>
      </c>
      <c r="K20" s="9"/>
      <c r="L20" s="2"/>
      <c r="M20" s="11"/>
      <c r="N20" s="11"/>
      <c r="O20" s="12"/>
      <c r="P20" s="11"/>
      <c r="Q20" s="11"/>
      <c r="R20" s="11"/>
    </row>
    <row r="21" spans="1:18" x14ac:dyDescent="0.2">
      <c r="A21" t="s">
        <v>7</v>
      </c>
      <c r="B21">
        <v>47</v>
      </c>
      <c r="C21">
        <v>1</v>
      </c>
      <c r="D21">
        <v>4.5212000000000003</v>
      </c>
      <c r="E21">
        <v>0.72050000000000003</v>
      </c>
      <c r="F21">
        <v>1.6546000000000001</v>
      </c>
      <c r="G21">
        <v>0.7641</v>
      </c>
      <c r="H21">
        <v>0.7419</v>
      </c>
      <c r="K21" s="9"/>
      <c r="L21" s="2"/>
      <c r="M21" s="11"/>
      <c r="N21" s="11"/>
      <c r="O21" s="12"/>
      <c r="P21" s="11"/>
      <c r="Q21" s="11"/>
      <c r="R21" s="11"/>
    </row>
    <row r="22" spans="1:18" x14ac:dyDescent="0.2">
      <c r="A22" t="s">
        <v>7</v>
      </c>
      <c r="B22">
        <v>47</v>
      </c>
      <c r="C22">
        <v>1</v>
      </c>
      <c r="D22">
        <v>5.0749000000000004</v>
      </c>
      <c r="E22">
        <v>1.5223</v>
      </c>
      <c r="F22">
        <v>1.6484000000000001</v>
      </c>
      <c r="G22">
        <v>0.90449999999999997</v>
      </c>
      <c r="H22">
        <v>1.8207</v>
      </c>
      <c r="K22" s="9"/>
      <c r="L22" s="2"/>
      <c r="M22" s="11"/>
      <c r="N22" s="11"/>
      <c r="O22" s="12"/>
      <c r="P22" s="11"/>
      <c r="Q22" s="11"/>
      <c r="R22" s="11"/>
    </row>
    <row r="23" spans="1:18" x14ac:dyDescent="0.2">
      <c r="A23" t="s">
        <v>7</v>
      </c>
      <c r="B23">
        <v>100</v>
      </c>
      <c r="C23">
        <v>1</v>
      </c>
      <c r="D23">
        <v>16.489000000000001</v>
      </c>
      <c r="E23">
        <v>3.4083000000000001</v>
      </c>
      <c r="F23">
        <v>13.902900000000001</v>
      </c>
      <c r="G23">
        <v>7.5675999999999997</v>
      </c>
      <c r="H23">
        <v>1.6841999999999999</v>
      </c>
      <c r="K23" s="9"/>
      <c r="L23" s="2"/>
      <c r="M23" s="11"/>
      <c r="N23" s="11"/>
      <c r="O23" s="12"/>
      <c r="P23" s="11"/>
      <c r="Q23" s="11"/>
      <c r="R23" s="11"/>
    </row>
    <row r="24" spans="1:18" x14ac:dyDescent="0.2">
      <c r="A24" t="s">
        <v>7</v>
      </c>
      <c r="B24">
        <v>100</v>
      </c>
      <c r="C24">
        <v>1</v>
      </c>
      <c r="D24">
        <v>27.570399999999999</v>
      </c>
      <c r="E24">
        <v>1.3939999999999999</v>
      </c>
      <c r="F24">
        <v>11.8392</v>
      </c>
      <c r="G24">
        <v>8.9933999999999994</v>
      </c>
      <c r="H24">
        <v>1.3213999999999999</v>
      </c>
      <c r="K24" s="9"/>
      <c r="L24" s="2"/>
      <c r="M24" s="11"/>
      <c r="N24" s="11"/>
      <c r="O24" s="12"/>
      <c r="P24" s="11"/>
      <c r="Q24" s="11"/>
      <c r="R24" s="11"/>
    </row>
    <row r="25" spans="1:18" x14ac:dyDescent="0.2">
      <c r="A25" t="s">
        <v>7</v>
      </c>
      <c r="B25">
        <v>100</v>
      </c>
      <c r="C25">
        <v>1</v>
      </c>
      <c r="D25">
        <v>53.298000000000002</v>
      </c>
      <c r="E25">
        <v>1.744</v>
      </c>
      <c r="F25">
        <v>11.400600000000001</v>
      </c>
      <c r="G25">
        <v>5.7675000000000001</v>
      </c>
      <c r="H25">
        <v>3.9184999999999999</v>
      </c>
      <c r="K25" s="9"/>
      <c r="L25" s="11"/>
      <c r="M25" s="11"/>
      <c r="N25" s="11"/>
      <c r="O25" s="12"/>
      <c r="P25" s="11"/>
      <c r="Q25" s="11"/>
      <c r="R25" s="11"/>
    </row>
    <row r="26" spans="1:18" x14ac:dyDescent="0.2">
      <c r="A26" t="s">
        <v>7</v>
      </c>
      <c r="B26">
        <v>100</v>
      </c>
      <c r="C26">
        <v>1</v>
      </c>
      <c r="D26">
        <v>15.503399999999999</v>
      </c>
      <c r="E26">
        <v>3.7088999999999999</v>
      </c>
      <c r="F26">
        <v>26.707100000000001</v>
      </c>
      <c r="G26">
        <v>6.0549999999999997</v>
      </c>
      <c r="H26">
        <v>2.1387</v>
      </c>
      <c r="K26" s="9"/>
      <c r="L26" s="11"/>
      <c r="M26" s="11"/>
      <c r="N26" s="11"/>
      <c r="O26" s="11"/>
      <c r="P26" s="11"/>
      <c r="Q26" s="11"/>
      <c r="R26" s="11"/>
    </row>
    <row r="27" spans="1:18" x14ac:dyDescent="0.2">
      <c r="A27" t="s">
        <v>7</v>
      </c>
      <c r="B27">
        <v>100</v>
      </c>
      <c r="C27">
        <v>1</v>
      </c>
      <c r="D27">
        <v>15.7165</v>
      </c>
      <c r="E27">
        <v>2.0093000000000001</v>
      </c>
      <c r="F27">
        <v>16.932500000000001</v>
      </c>
      <c r="G27">
        <v>10.791700000000001</v>
      </c>
      <c r="H27">
        <v>1.2481</v>
      </c>
      <c r="K27" s="9"/>
      <c r="L27" s="11"/>
      <c r="M27" s="11"/>
      <c r="N27" s="11"/>
      <c r="O27" s="11"/>
      <c r="P27" s="11"/>
      <c r="Q27" s="11"/>
      <c r="R27" s="11"/>
    </row>
    <row r="28" spans="1:18" x14ac:dyDescent="0.2">
      <c r="A28" t="s">
        <v>7</v>
      </c>
      <c r="B28">
        <v>100</v>
      </c>
      <c r="C28">
        <v>1</v>
      </c>
      <c r="D28">
        <v>32.695099999999996</v>
      </c>
      <c r="E28">
        <v>2.3001999999999998</v>
      </c>
      <c r="F28">
        <v>16.407399999999999</v>
      </c>
      <c r="G28">
        <v>10.519600000000001</v>
      </c>
      <c r="H28">
        <v>6.5185000000000004</v>
      </c>
      <c r="K28" s="9"/>
      <c r="L28" s="11"/>
      <c r="M28" s="11"/>
      <c r="N28" s="11"/>
      <c r="O28" s="11"/>
      <c r="P28" s="11"/>
      <c r="Q28" s="11"/>
      <c r="R28" s="11"/>
    </row>
    <row r="29" spans="1:18" x14ac:dyDescent="0.2">
      <c r="A29" t="s">
        <v>7</v>
      </c>
      <c r="B29">
        <v>100</v>
      </c>
      <c r="C29">
        <v>1</v>
      </c>
      <c r="D29">
        <v>7.5472000000000001</v>
      </c>
      <c r="E29">
        <v>2.827</v>
      </c>
      <c r="F29">
        <v>19.392600000000002</v>
      </c>
      <c r="G29">
        <v>11.619400000000001</v>
      </c>
      <c r="H29">
        <v>5.9463999999999997</v>
      </c>
      <c r="K29" s="9"/>
      <c r="L29" s="11"/>
      <c r="M29" s="11"/>
      <c r="N29" s="11"/>
      <c r="O29" s="11"/>
      <c r="P29" s="11"/>
      <c r="Q29" s="11"/>
      <c r="R29" s="11"/>
    </row>
    <row r="30" spans="1:18" x14ac:dyDescent="0.2">
      <c r="A30" t="s">
        <v>7</v>
      </c>
      <c r="B30">
        <v>100</v>
      </c>
      <c r="C30">
        <v>1</v>
      </c>
      <c r="D30">
        <v>8.7026000000000003</v>
      </c>
      <c r="E30">
        <v>1.7174</v>
      </c>
      <c r="F30">
        <v>5.7596999999999996</v>
      </c>
      <c r="G30">
        <v>3.4548999999999999</v>
      </c>
      <c r="H30">
        <v>1.6987000000000001</v>
      </c>
      <c r="K30" s="9"/>
      <c r="L30" s="11"/>
      <c r="M30" s="11"/>
      <c r="N30" s="11"/>
      <c r="O30" s="11"/>
      <c r="P30" s="11"/>
      <c r="Q30" s="11"/>
      <c r="R30" s="11"/>
    </row>
    <row r="31" spans="1:18" x14ac:dyDescent="0.2">
      <c r="A31" t="s">
        <v>7</v>
      </c>
      <c r="B31">
        <v>100</v>
      </c>
      <c r="C31">
        <v>1</v>
      </c>
      <c r="D31">
        <v>17.888500000000001</v>
      </c>
      <c r="E31">
        <v>1.4352</v>
      </c>
      <c r="F31">
        <v>19.6785</v>
      </c>
      <c r="G31">
        <v>7.9134000000000002</v>
      </c>
      <c r="H31">
        <v>2.4371</v>
      </c>
      <c r="K31" s="9"/>
      <c r="L31" s="11"/>
      <c r="M31" s="11"/>
      <c r="N31" s="11"/>
      <c r="O31" s="11"/>
      <c r="P31" s="11"/>
      <c r="Q31" s="11"/>
      <c r="R31" s="11"/>
    </row>
    <row r="32" spans="1:18" x14ac:dyDescent="0.2">
      <c r="A32" t="s">
        <v>7</v>
      </c>
      <c r="B32">
        <v>100</v>
      </c>
      <c r="C32">
        <v>1</v>
      </c>
      <c r="D32">
        <v>25.161000000000001</v>
      </c>
      <c r="E32">
        <v>2.5608</v>
      </c>
      <c r="F32">
        <v>24.822800000000001</v>
      </c>
      <c r="G32">
        <v>8.4598999999999993</v>
      </c>
      <c r="H32">
        <v>1.1186</v>
      </c>
      <c r="K32" s="9"/>
      <c r="L32" s="11"/>
      <c r="M32" s="11"/>
      <c r="N32" s="11"/>
      <c r="O32" s="11"/>
      <c r="P32" s="11"/>
      <c r="Q32" s="11"/>
      <c r="R32" s="11"/>
    </row>
    <row r="33" spans="1:18" x14ac:dyDescent="0.2">
      <c r="A33" t="s">
        <v>17</v>
      </c>
      <c r="B33">
        <v>30</v>
      </c>
      <c r="C33">
        <v>1</v>
      </c>
      <c r="D33">
        <v>1.1452</v>
      </c>
      <c r="E33">
        <v>0.96579999999999999</v>
      </c>
      <c r="F33">
        <v>1.4955000000000001</v>
      </c>
      <c r="G33">
        <v>1.877</v>
      </c>
      <c r="H33">
        <v>0.52790000000000004</v>
      </c>
      <c r="K33" s="9"/>
      <c r="L33" s="11"/>
      <c r="M33" s="11"/>
      <c r="N33" s="11"/>
      <c r="O33" s="11"/>
      <c r="P33" s="11"/>
      <c r="Q33" s="11"/>
      <c r="R33" s="11"/>
    </row>
    <row r="34" spans="1:18" x14ac:dyDescent="0.2">
      <c r="A34" t="s">
        <v>17</v>
      </c>
      <c r="B34">
        <v>30</v>
      </c>
      <c r="C34">
        <v>1</v>
      </c>
      <c r="D34">
        <v>1.3079000000000001</v>
      </c>
      <c r="E34">
        <v>1.1592</v>
      </c>
      <c r="F34">
        <v>1.3852</v>
      </c>
      <c r="G34">
        <v>1.5301</v>
      </c>
      <c r="H34">
        <v>0.26040000000000002</v>
      </c>
      <c r="K34" s="9"/>
      <c r="L34" s="11"/>
      <c r="M34" s="11"/>
      <c r="N34" s="11"/>
      <c r="O34" s="11"/>
      <c r="P34" s="11"/>
      <c r="Q34" s="11"/>
      <c r="R34" s="11"/>
    </row>
    <row r="35" spans="1:18" x14ac:dyDescent="0.2">
      <c r="A35" t="s">
        <v>17</v>
      </c>
      <c r="B35">
        <v>30</v>
      </c>
      <c r="C35">
        <v>1</v>
      </c>
      <c r="D35">
        <v>1.1896</v>
      </c>
      <c r="E35">
        <v>0.99870000000000003</v>
      </c>
      <c r="F35">
        <v>1.0303</v>
      </c>
      <c r="G35">
        <v>1.3552999999999999</v>
      </c>
      <c r="H35">
        <v>0.31040000000000001</v>
      </c>
      <c r="K35" s="9"/>
      <c r="L35" s="11"/>
      <c r="M35" s="11"/>
      <c r="N35" s="11"/>
      <c r="O35" s="11"/>
      <c r="P35" s="11"/>
      <c r="Q35" s="11"/>
      <c r="R35" s="11"/>
    </row>
    <row r="36" spans="1:18" x14ac:dyDescent="0.2">
      <c r="A36" t="s">
        <v>17</v>
      </c>
      <c r="B36">
        <v>30</v>
      </c>
      <c r="C36">
        <v>1</v>
      </c>
      <c r="D36">
        <v>1.5132000000000001</v>
      </c>
      <c r="E36">
        <v>1.2818000000000001</v>
      </c>
      <c r="F36">
        <v>1.1133</v>
      </c>
      <c r="G36">
        <v>1.6384000000000001</v>
      </c>
      <c r="H36">
        <v>0.48380000000000001</v>
      </c>
      <c r="K36" s="9"/>
      <c r="L36" s="11"/>
      <c r="M36" s="11"/>
      <c r="N36" s="11"/>
      <c r="O36" s="11"/>
      <c r="P36" s="11"/>
      <c r="Q36" s="11"/>
      <c r="R36" s="11"/>
    </row>
    <row r="37" spans="1:18" x14ac:dyDescent="0.2">
      <c r="A37" t="s">
        <v>17</v>
      </c>
      <c r="B37">
        <v>30</v>
      </c>
      <c r="C37">
        <v>1</v>
      </c>
      <c r="D37">
        <v>1.4221999999999999</v>
      </c>
      <c r="E37">
        <v>0.65739999999999998</v>
      </c>
      <c r="F37">
        <v>1.7975000000000001</v>
      </c>
      <c r="G37">
        <v>0.51910000000000001</v>
      </c>
      <c r="H37">
        <v>0.64410000000000001</v>
      </c>
      <c r="K37" s="9"/>
      <c r="L37" s="11"/>
      <c r="M37" s="11"/>
      <c r="N37" s="11"/>
      <c r="O37" s="11"/>
      <c r="P37" s="11"/>
      <c r="Q37" s="11"/>
      <c r="R37" s="11"/>
    </row>
    <row r="38" spans="1:18" x14ac:dyDescent="0.2">
      <c r="A38" t="s">
        <v>17</v>
      </c>
      <c r="B38">
        <v>30</v>
      </c>
      <c r="C38">
        <v>1</v>
      </c>
      <c r="D38">
        <v>1.5584</v>
      </c>
      <c r="E38">
        <v>0.5524</v>
      </c>
      <c r="F38">
        <v>0.69210000000000005</v>
      </c>
      <c r="G38">
        <v>2.0560999999999998</v>
      </c>
      <c r="H38">
        <v>0.64710000000000001</v>
      </c>
      <c r="K38" s="9"/>
      <c r="L38" s="11"/>
      <c r="M38" s="11"/>
      <c r="N38" s="11"/>
      <c r="O38" s="11"/>
      <c r="P38" s="11"/>
      <c r="Q38" s="11"/>
      <c r="R38" s="11"/>
    </row>
    <row r="39" spans="1:18" x14ac:dyDescent="0.2">
      <c r="A39" t="s">
        <v>17</v>
      </c>
      <c r="B39">
        <v>30</v>
      </c>
      <c r="C39">
        <v>1</v>
      </c>
      <c r="D39">
        <v>1.3211999999999999</v>
      </c>
      <c r="E39">
        <v>0.6149</v>
      </c>
      <c r="F39">
        <v>1.1175999999999999</v>
      </c>
      <c r="G39">
        <v>0.78500000000000003</v>
      </c>
      <c r="H39">
        <v>0.2787</v>
      </c>
      <c r="K39" s="9"/>
      <c r="L39" s="11"/>
      <c r="M39" s="11"/>
      <c r="N39" s="11"/>
      <c r="O39" s="11"/>
      <c r="P39" s="11"/>
      <c r="Q39" s="11"/>
      <c r="R39" s="11"/>
    </row>
    <row r="40" spans="1:18" x14ac:dyDescent="0.2">
      <c r="A40" t="s">
        <v>17</v>
      </c>
      <c r="B40">
        <v>30</v>
      </c>
      <c r="C40">
        <v>1</v>
      </c>
      <c r="D40">
        <v>1.4207000000000001</v>
      </c>
      <c r="E40">
        <v>0.4869</v>
      </c>
      <c r="F40">
        <v>0.74460000000000004</v>
      </c>
      <c r="G40">
        <v>0.56299999999999994</v>
      </c>
      <c r="H40">
        <v>0.2326</v>
      </c>
      <c r="K40" s="9"/>
      <c r="L40" s="11"/>
      <c r="M40" s="11"/>
      <c r="N40" s="11"/>
      <c r="O40" s="11"/>
      <c r="P40" s="11"/>
      <c r="Q40" s="11"/>
      <c r="R40" s="11"/>
    </row>
    <row r="41" spans="1:18" x14ac:dyDescent="0.2">
      <c r="A41" t="s">
        <v>17</v>
      </c>
      <c r="B41">
        <v>30</v>
      </c>
      <c r="C41">
        <v>1</v>
      </c>
      <c r="D41">
        <v>1.3369</v>
      </c>
      <c r="E41">
        <v>0.8216</v>
      </c>
      <c r="F41">
        <v>0.97309999999999997</v>
      </c>
      <c r="G41">
        <v>0.77749999999999997</v>
      </c>
      <c r="H41">
        <v>0.62780000000000002</v>
      </c>
      <c r="K41" s="9"/>
      <c r="L41" s="11"/>
      <c r="M41" s="11"/>
      <c r="N41" s="11"/>
      <c r="O41" s="11"/>
      <c r="P41" s="11"/>
      <c r="Q41" s="11"/>
      <c r="R41" s="11"/>
    </row>
    <row r="42" spans="1:18" x14ac:dyDescent="0.2">
      <c r="A42" t="s">
        <v>17</v>
      </c>
      <c r="B42">
        <v>30</v>
      </c>
      <c r="C42">
        <v>1</v>
      </c>
      <c r="D42">
        <v>1.2413000000000001</v>
      </c>
      <c r="E42">
        <v>0.42109999999999997</v>
      </c>
      <c r="F42">
        <v>0.6542</v>
      </c>
      <c r="G42">
        <v>2.3538999999999999</v>
      </c>
      <c r="H42">
        <v>0.50829999999999997</v>
      </c>
      <c r="K42" s="9"/>
      <c r="L42" s="11"/>
      <c r="M42" s="11"/>
      <c r="N42" s="11"/>
      <c r="O42" s="11"/>
      <c r="P42" s="11"/>
      <c r="Q42" s="11"/>
      <c r="R42" s="11"/>
    </row>
    <row r="43" spans="1:18" x14ac:dyDescent="0.2">
      <c r="A43" t="s">
        <v>17</v>
      </c>
      <c r="B43">
        <v>50</v>
      </c>
      <c r="C43">
        <v>1</v>
      </c>
      <c r="D43">
        <v>2.7421000000000002</v>
      </c>
      <c r="E43">
        <v>1.5752999999999999</v>
      </c>
      <c r="F43">
        <v>3.1511</v>
      </c>
      <c r="G43">
        <v>3.6141999999999999</v>
      </c>
      <c r="H43">
        <v>0.77210000000000001</v>
      </c>
      <c r="K43" s="9"/>
      <c r="L43" s="11"/>
      <c r="M43" s="11"/>
      <c r="N43" s="11"/>
      <c r="O43" s="11"/>
      <c r="P43" s="11"/>
      <c r="Q43" s="11"/>
      <c r="R43" s="11"/>
    </row>
    <row r="44" spans="1:18" x14ac:dyDescent="0.2">
      <c r="A44" t="s">
        <v>17</v>
      </c>
      <c r="B44">
        <v>50</v>
      </c>
      <c r="C44">
        <v>1</v>
      </c>
      <c r="D44">
        <v>2.7077</v>
      </c>
      <c r="E44">
        <v>1.3113999999999999</v>
      </c>
      <c r="F44">
        <v>2.3372999999999999</v>
      </c>
      <c r="G44">
        <v>1.3482000000000001</v>
      </c>
      <c r="H44">
        <v>0.50849999999999995</v>
      </c>
      <c r="K44" s="9"/>
      <c r="L44" s="11"/>
      <c r="M44" s="11"/>
      <c r="N44" s="11"/>
      <c r="O44" s="11"/>
      <c r="P44" s="11"/>
      <c r="Q44" s="11"/>
      <c r="R44" s="11"/>
    </row>
    <row r="45" spans="1:18" x14ac:dyDescent="0.2">
      <c r="A45" t="s">
        <v>17</v>
      </c>
      <c r="B45">
        <v>50</v>
      </c>
      <c r="C45">
        <v>1</v>
      </c>
      <c r="D45">
        <v>4.8857999999999997</v>
      </c>
      <c r="E45">
        <v>1.4837</v>
      </c>
      <c r="F45">
        <v>1.8170999999999999</v>
      </c>
      <c r="G45">
        <v>2.2441</v>
      </c>
      <c r="H45">
        <v>0.56669999999999998</v>
      </c>
      <c r="K45" s="9"/>
      <c r="L45" s="11"/>
      <c r="M45" s="11"/>
      <c r="N45" s="11"/>
      <c r="O45" s="11"/>
      <c r="P45" s="11"/>
      <c r="Q45" s="11"/>
      <c r="R45" s="11"/>
    </row>
    <row r="46" spans="1:18" x14ac:dyDescent="0.2">
      <c r="A46" t="s">
        <v>17</v>
      </c>
      <c r="B46">
        <v>50</v>
      </c>
      <c r="C46">
        <v>1</v>
      </c>
      <c r="D46">
        <v>3.3717999999999999</v>
      </c>
      <c r="E46">
        <v>0.78100000000000003</v>
      </c>
      <c r="F46">
        <v>2.4047000000000001</v>
      </c>
      <c r="G46">
        <v>1.4408000000000001</v>
      </c>
      <c r="H46">
        <v>0.59199999999999997</v>
      </c>
      <c r="K46" s="9"/>
      <c r="L46" s="11"/>
      <c r="M46" s="11"/>
      <c r="N46" s="11"/>
      <c r="O46" s="11"/>
      <c r="P46" s="11"/>
      <c r="Q46" s="11"/>
      <c r="R46" s="11"/>
    </row>
    <row r="47" spans="1:18" x14ac:dyDescent="0.2">
      <c r="A47" t="s">
        <v>17</v>
      </c>
      <c r="B47">
        <v>50</v>
      </c>
      <c r="C47">
        <v>1</v>
      </c>
      <c r="D47">
        <v>1.8106</v>
      </c>
      <c r="E47">
        <v>0.34689999999999999</v>
      </c>
      <c r="F47">
        <v>2.0882999999999998</v>
      </c>
      <c r="G47">
        <v>4.4054000000000002</v>
      </c>
      <c r="H47">
        <v>0.58609999999999995</v>
      </c>
      <c r="K47" s="9"/>
      <c r="L47" s="11"/>
      <c r="M47" s="11"/>
      <c r="N47" s="11"/>
      <c r="O47" s="11"/>
      <c r="P47" s="11"/>
      <c r="Q47" s="11"/>
      <c r="R47" s="11"/>
    </row>
    <row r="48" spans="1:18" x14ac:dyDescent="0.2">
      <c r="A48" s="13" t="s">
        <v>17</v>
      </c>
      <c r="B48" s="13">
        <v>50</v>
      </c>
      <c r="C48" s="13">
        <v>1</v>
      </c>
      <c r="D48" s="13">
        <v>2.0005000000000002</v>
      </c>
      <c r="E48" s="13">
        <v>0.51980000000000004</v>
      </c>
      <c r="F48" s="13">
        <v>1.5525</v>
      </c>
      <c r="G48" s="13">
        <v>1.0934999999999999</v>
      </c>
      <c r="H48" s="13">
        <v>1.5210999999999999</v>
      </c>
      <c r="I48" s="13"/>
      <c r="K48" s="9"/>
      <c r="L48" s="11"/>
      <c r="M48" s="11"/>
      <c r="N48" s="11"/>
      <c r="O48" s="11"/>
      <c r="P48" s="11"/>
      <c r="Q48" s="11"/>
      <c r="R48" s="11"/>
    </row>
    <row r="49" spans="1:18" x14ac:dyDescent="0.2">
      <c r="A49" s="13" t="s">
        <v>17</v>
      </c>
      <c r="B49" s="13">
        <v>50</v>
      </c>
      <c r="C49" s="13">
        <v>1</v>
      </c>
      <c r="D49" s="13">
        <v>3.0611999999999999</v>
      </c>
      <c r="E49" s="13">
        <v>0.34789999999999999</v>
      </c>
      <c r="F49" s="13">
        <v>1.2943</v>
      </c>
      <c r="G49" s="13">
        <v>4.0210999999999997</v>
      </c>
      <c r="H49" s="13">
        <v>0.64659999999999995</v>
      </c>
      <c r="I49" s="13"/>
      <c r="K49" s="9"/>
      <c r="L49" s="11"/>
      <c r="M49" s="11"/>
      <c r="N49" s="11"/>
      <c r="O49" s="11"/>
      <c r="P49" s="11"/>
      <c r="Q49" s="11"/>
      <c r="R49" s="11"/>
    </row>
    <row r="50" spans="1:18" x14ac:dyDescent="0.2">
      <c r="A50" s="13" t="s">
        <v>17</v>
      </c>
      <c r="B50" s="13">
        <v>50</v>
      </c>
      <c r="C50" s="13">
        <v>1</v>
      </c>
      <c r="D50" s="13">
        <v>4.0244999999999997</v>
      </c>
      <c r="E50" s="13">
        <v>1.6494</v>
      </c>
      <c r="F50" s="13">
        <v>1.5752999999999999</v>
      </c>
      <c r="G50" s="13">
        <v>3.7824</v>
      </c>
      <c r="H50" s="13">
        <v>0.4879</v>
      </c>
      <c r="I50" s="13"/>
      <c r="K50" s="9"/>
      <c r="L50" s="11"/>
      <c r="M50" s="11"/>
      <c r="N50" s="11"/>
      <c r="O50" s="11"/>
      <c r="P50" s="11"/>
      <c r="Q50" s="11"/>
      <c r="R50" s="11"/>
    </row>
    <row r="51" spans="1:18" x14ac:dyDescent="0.2">
      <c r="A51" s="13" t="s">
        <v>17</v>
      </c>
      <c r="B51" s="13">
        <v>50</v>
      </c>
      <c r="C51" s="13">
        <v>1</v>
      </c>
      <c r="D51" s="13">
        <v>2.7888999999999999</v>
      </c>
      <c r="E51" s="13">
        <v>0.40939999999999999</v>
      </c>
      <c r="F51" s="13">
        <v>1.8505</v>
      </c>
      <c r="G51" s="13">
        <v>1.0852999999999999</v>
      </c>
      <c r="H51" s="13">
        <v>0.74109999999999998</v>
      </c>
      <c r="I51" s="13"/>
      <c r="K51" s="9"/>
      <c r="L51" s="11"/>
      <c r="M51" s="11"/>
      <c r="N51" s="11"/>
      <c r="O51" s="11"/>
      <c r="P51" s="11"/>
      <c r="Q51" s="11"/>
      <c r="R51" s="11"/>
    </row>
    <row r="52" spans="1:18" x14ac:dyDescent="0.2">
      <c r="A52" s="13" t="s">
        <v>17</v>
      </c>
      <c r="B52" s="13">
        <v>50</v>
      </c>
      <c r="C52" s="13">
        <v>1</v>
      </c>
      <c r="D52" s="13">
        <v>2.9255</v>
      </c>
      <c r="E52" s="13">
        <v>1.4988999999999999</v>
      </c>
      <c r="F52" s="13">
        <v>2.4426000000000001</v>
      </c>
      <c r="G52" s="13">
        <v>3.7109000000000001</v>
      </c>
      <c r="H52" s="13">
        <v>0.75039999999999996</v>
      </c>
      <c r="I52" s="13"/>
      <c r="K52" s="9"/>
      <c r="L52" s="11"/>
      <c r="M52" s="11"/>
      <c r="N52" s="11"/>
      <c r="O52" s="11"/>
      <c r="P52" s="11"/>
      <c r="Q52" s="11"/>
      <c r="R52" s="11"/>
    </row>
    <row r="53" spans="1:18" x14ac:dyDescent="0.2">
      <c r="A53" s="1" t="s">
        <v>17</v>
      </c>
      <c r="B53" s="1">
        <v>100</v>
      </c>
      <c r="C53" s="1">
        <v>1</v>
      </c>
      <c r="D53" s="1">
        <v>14.865399999999999</v>
      </c>
      <c r="E53" s="1">
        <v>1.5185</v>
      </c>
      <c r="F53" s="1">
        <v>8.7809000000000008</v>
      </c>
      <c r="G53" s="1">
        <v>9.0739000000000001</v>
      </c>
      <c r="H53" s="1">
        <v>1.9020999999999999</v>
      </c>
      <c r="K53" s="9"/>
      <c r="L53" s="11"/>
      <c r="M53" s="11"/>
      <c r="N53" s="11"/>
      <c r="O53" s="11"/>
      <c r="P53" s="11"/>
      <c r="Q53" s="11"/>
      <c r="R53" s="11"/>
    </row>
    <row r="54" spans="1:18" x14ac:dyDescent="0.2">
      <c r="A54" s="1" t="s">
        <v>17</v>
      </c>
      <c r="B54" s="1">
        <v>100</v>
      </c>
      <c r="C54" s="1">
        <v>1</v>
      </c>
      <c r="D54" s="1">
        <v>10.951000000000001</v>
      </c>
      <c r="E54" s="1">
        <v>6.0145999999999997</v>
      </c>
      <c r="F54" s="1">
        <v>3.4114</v>
      </c>
      <c r="G54" s="1">
        <v>7.2546999999999997</v>
      </c>
      <c r="H54" s="1">
        <v>3.9691999999999998</v>
      </c>
      <c r="K54" s="9"/>
      <c r="L54" s="11"/>
      <c r="M54" s="11"/>
      <c r="N54" s="11"/>
      <c r="O54" s="11"/>
      <c r="P54" s="11"/>
      <c r="Q54" s="11"/>
      <c r="R54" s="11"/>
    </row>
    <row r="55" spans="1:18" x14ac:dyDescent="0.2">
      <c r="A55" s="1" t="s">
        <v>17</v>
      </c>
      <c r="B55" s="1">
        <v>100</v>
      </c>
      <c r="C55" s="1">
        <v>1</v>
      </c>
      <c r="D55" s="1">
        <v>7.4814999999999996</v>
      </c>
      <c r="E55" s="1">
        <v>1.2193000000000001</v>
      </c>
      <c r="F55" s="1">
        <v>7.2126000000000001</v>
      </c>
      <c r="G55" s="1">
        <v>5.4298999999999999</v>
      </c>
      <c r="H55" s="1">
        <v>1.4420999999999999</v>
      </c>
      <c r="K55" s="9"/>
      <c r="L55" s="11"/>
      <c r="M55" s="11"/>
      <c r="N55" s="11"/>
      <c r="O55" s="11"/>
      <c r="P55" s="11"/>
      <c r="Q55" s="11"/>
      <c r="R55" s="11"/>
    </row>
    <row r="56" spans="1:18" x14ac:dyDescent="0.2">
      <c r="A56" s="1" t="s">
        <v>17</v>
      </c>
      <c r="B56" s="1">
        <v>100</v>
      </c>
      <c r="C56" s="1">
        <v>1</v>
      </c>
      <c r="D56" s="1">
        <v>10.3071</v>
      </c>
      <c r="E56" s="1">
        <v>2.2185999999999999</v>
      </c>
      <c r="F56" s="1">
        <v>4.7502000000000004</v>
      </c>
      <c r="G56" s="1">
        <v>8.4690999999999992</v>
      </c>
      <c r="H56" s="1">
        <v>1.6059000000000001</v>
      </c>
      <c r="K56" s="9"/>
      <c r="L56" s="11"/>
      <c r="M56" s="11"/>
      <c r="N56" s="11"/>
      <c r="O56" s="11"/>
      <c r="P56" s="11"/>
      <c r="Q56" s="11"/>
      <c r="R56" s="11"/>
    </row>
    <row r="57" spans="1:18" x14ac:dyDescent="0.2">
      <c r="A57" s="1" t="s">
        <v>17</v>
      </c>
      <c r="B57" s="1">
        <v>100</v>
      </c>
      <c r="C57" s="1">
        <v>1</v>
      </c>
      <c r="D57" s="1">
        <v>10.823</v>
      </c>
      <c r="E57" s="1">
        <v>2.5552000000000001</v>
      </c>
      <c r="F57" s="1">
        <v>6.0827999999999998</v>
      </c>
      <c r="G57" s="1">
        <v>13.1211</v>
      </c>
      <c r="H57" s="1">
        <v>2.5813000000000001</v>
      </c>
      <c r="K57" s="9"/>
      <c r="L57" s="11"/>
      <c r="M57" s="11"/>
      <c r="N57" s="11"/>
      <c r="O57" s="11"/>
      <c r="P57" s="11"/>
      <c r="Q57" s="11"/>
      <c r="R57" s="11"/>
    </row>
    <row r="58" spans="1:18" x14ac:dyDescent="0.2">
      <c r="A58" s="1" t="s">
        <v>17</v>
      </c>
      <c r="B58" s="1">
        <v>100</v>
      </c>
      <c r="C58" s="1">
        <v>1</v>
      </c>
      <c r="D58" s="1">
        <v>21.97</v>
      </c>
      <c r="E58" s="1">
        <v>1.7324999999999999</v>
      </c>
      <c r="F58" s="1">
        <v>7.3994999999999997</v>
      </c>
      <c r="G58" s="1">
        <v>10.4763</v>
      </c>
      <c r="H58" s="1">
        <v>1.2667999999999999</v>
      </c>
      <c r="K58" s="9"/>
      <c r="L58" s="11"/>
      <c r="M58" s="11"/>
      <c r="N58" s="11"/>
      <c r="O58" s="11"/>
      <c r="P58" s="11"/>
      <c r="Q58" s="11"/>
      <c r="R58" s="11"/>
    </row>
    <row r="59" spans="1:18" x14ac:dyDescent="0.2">
      <c r="A59" s="1" t="s">
        <v>17</v>
      </c>
      <c r="B59" s="1">
        <v>100</v>
      </c>
      <c r="C59" s="1">
        <v>1</v>
      </c>
      <c r="D59" s="1">
        <v>8.1803000000000008</v>
      </c>
      <c r="E59" s="1">
        <v>3.7079</v>
      </c>
      <c r="F59" s="1">
        <v>13.3194</v>
      </c>
      <c r="G59" s="1">
        <v>8.4497999999999998</v>
      </c>
      <c r="H59" s="1">
        <v>1.8354999999999999</v>
      </c>
      <c r="K59" s="9"/>
      <c r="L59" s="11"/>
      <c r="M59" s="11"/>
      <c r="N59" s="11"/>
      <c r="O59" s="11"/>
      <c r="P59" s="11"/>
      <c r="Q59" s="11"/>
      <c r="R59" s="11"/>
    </row>
    <row r="60" spans="1:18" x14ac:dyDescent="0.2">
      <c r="A60" s="1" t="s">
        <v>17</v>
      </c>
      <c r="B60" s="1">
        <v>100</v>
      </c>
      <c r="C60" s="1">
        <v>1</v>
      </c>
      <c r="D60" s="1">
        <v>15.8552</v>
      </c>
      <c r="E60" s="1">
        <v>1.242</v>
      </c>
      <c r="F60" s="1">
        <v>7.3912000000000004</v>
      </c>
      <c r="G60" s="1">
        <v>8.7863000000000007</v>
      </c>
      <c r="H60" s="1">
        <v>2.3355000000000001</v>
      </c>
      <c r="K60" s="9"/>
      <c r="L60" s="11"/>
      <c r="M60" s="11"/>
      <c r="N60" s="11"/>
      <c r="O60" s="11"/>
      <c r="P60" s="11"/>
      <c r="Q60" s="11"/>
      <c r="R60" s="11"/>
    </row>
    <row r="61" spans="1:18" x14ac:dyDescent="0.2">
      <c r="A61" s="1" t="s">
        <v>17</v>
      </c>
      <c r="B61" s="1">
        <v>100</v>
      </c>
      <c r="C61" s="1">
        <v>1</v>
      </c>
      <c r="D61" s="1">
        <v>5.5956999999999999</v>
      </c>
      <c r="E61" s="1">
        <v>3.6913999999999998</v>
      </c>
      <c r="F61" s="1">
        <v>9.2072000000000003</v>
      </c>
      <c r="G61" s="1">
        <v>12.134399999999999</v>
      </c>
      <c r="H61" s="1">
        <v>1.4669000000000001</v>
      </c>
      <c r="K61" s="9"/>
      <c r="L61" s="11"/>
      <c r="M61" s="11"/>
      <c r="N61" s="11"/>
      <c r="O61" s="11"/>
      <c r="P61" s="11"/>
      <c r="Q61" s="11"/>
      <c r="R61" s="11"/>
    </row>
    <row r="62" spans="1:18" x14ac:dyDescent="0.2">
      <c r="A62" s="1" t="s">
        <v>17</v>
      </c>
      <c r="B62" s="1">
        <v>100</v>
      </c>
      <c r="C62" s="1">
        <v>1</v>
      </c>
      <c r="D62" s="1">
        <v>10.7235</v>
      </c>
      <c r="E62" s="1">
        <v>1.7749999999999999</v>
      </c>
      <c r="F62" s="1">
        <v>7.1032000000000002</v>
      </c>
      <c r="G62" s="1">
        <v>1.9755</v>
      </c>
      <c r="H62" s="1">
        <v>3.0939999999999999</v>
      </c>
      <c r="K62" s="9"/>
      <c r="L62" s="11"/>
      <c r="M62" s="11"/>
      <c r="N62" s="11"/>
      <c r="O62" s="11"/>
      <c r="P62" s="11"/>
      <c r="Q62" s="11"/>
      <c r="R62" s="11"/>
    </row>
    <row r="63" spans="1:18" x14ac:dyDescent="0.2">
      <c r="A63" s="1" t="s">
        <v>18</v>
      </c>
      <c r="B63" s="1">
        <v>25</v>
      </c>
      <c r="C63" s="1">
        <v>1</v>
      </c>
      <c r="D63" s="1">
        <v>0.60429999999999995</v>
      </c>
      <c r="E63" s="1">
        <v>0.68049999999999999</v>
      </c>
      <c r="F63" s="1">
        <v>0.86040000000000005</v>
      </c>
      <c r="G63" s="1">
        <v>0.69079999999999997</v>
      </c>
      <c r="H63" s="1">
        <v>0.18529999999999999</v>
      </c>
      <c r="K63" s="9"/>
      <c r="L63" s="11"/>
      <c r="M63" s="11"/>
      <c r="N63" s="11"/>
      <c r="O63" s="11"/>
      <c r="P63" s="11"/>
      <c r="Q63" s="11"/>
      <c r="R63" s="11"/>
    </row>
    <row r="64" spans="1:18" x14ac:dyDescent="0.2">
      <c r="A64" s="1" t="s">
        <v>18</v>
      </c>
      <c r="B64" s="1">
        <v>25</v>
      </c>
      <c r="C64" s="1">
        <v>1</v>
      </c>
      <c r="D64" s="1">
        <v>1.1424000000000001</v>
      </c>
      <c r="E64" s="1">
        <v>0.49440000000000001</v>
      </c>
      <c r="F64" s="1">
        <v>0.72670000000000001</v>
      </c>
      <c r="G64" s="1">
        <v>0.66379999999999995</v>
      </c>
      <c r="H64" s="1">
        <v>0.15559999999999999</v>
      </c>
      <c r="K64" s="9"/>
      <c r="L64" s="11"/>
      <c r="M64" s="11"/>
      <c r="N64" s="11"/>
      <c r="O64" s="11"/>
      <c r="P64" s="11"/>
      <c r="Q64" s="11"/>
      <c r="R64" s="11"/>
    </row>
    <row r="65" spans="1:18" x14ac:dyDescent="0.2">
      <c r="A65" s="1" t="s">
        <v>18</v>
      </c>
      <c r="B65" s="1">
        <v>25</v>
      </c>
      <c r="C65" s="1">
        <v>1</v>
      </c>
      <c r="D65" s="1">
        <v>1.2526999999999999</v>
      </c>
      <c r="E65" s="1">
        <v>0.6079</v>
      </c>
      <c r="F65" s="1">
        <v>1.2101</v>
      </c>
      <c r="G65" s="1">
        <v>0.92620000000000002</v>
      </c>
      <c r="H65" s="1">
        <v>0.1255</v>
      </c>
      <c r="K65" s="9"/>
      <c r="L65" s="11"/>
      <c r="M65" s="11"/>
      <c r="N65" s="11"/>
      <c r="O65" s="11"/>
      <c r="P65" s="11"/>
      <c r="Q65" s="11"/>
      <c r="R65" s="11"/>
    </row>
    <row r="66" spans="1:18" x14ac:dyDescent="0.2">
      <c r="A66" s="1" t="s">
        <v>18</v>
      </c>
      <c r="B66" s="1">
        <v>25</v>
      </c>
      <c r="C66" s="1">
        <v>1</v>
      </c>
      <c r="D66" s="1">
        <v>0.69079999999999997</v>
      </c>
      <c r="E66" s="1">
        <v>0.65810000000000002</v>
      </c>
      <c r="F66" s="1">
        <v>0.77159999999999995</v>
      </c>
      <c r="G66" s="1">
        <v>0.7843</v>
      </c>
      <c r="H66" s="1">
        <v>0.12839999999999999</v>
      </c>
      <c r="K66" s="9"/>
      <c r="L66" s="11"/>
      <c r="M66" s="11"/>
      <c r="N66" s="11"/>
      <c r="O66" s="11"/>
      <c r="P66" s="11"/>
      <c r="Q66" s="11"/>
      <c r="R66" s="11"/>
    </row>
    <row r="67" spans="1:18" x14ac:dyDescent="0.2">
      <c r="A67" s="1" t="s">
        <v>18</v>
      </c>
      <c r="B67" s="1">
        <v>25</v>
      </c>
      <c r="C67" s="1">
        <v>1</v>
      </c>
      <c r="D67" s="1">
        <v>0.95850000000000002</v>
      </c>
      <c r="E67" s="1">
        <v>0.42970000000000003</v>
      </c>
      <c r="F67" s="1">
        <v>0.50160000000000005</v>
      </c>
      <c r="G67" s="1">
        <v>0.72189999999999999</v>
      </c>
      <c r="H67" s="1">
        <v>0.4168</v>
      </c>
      <c r="K67" s="9"/>
      <c r="L67" s="11"/>
      <c r="M67" s="11"/>
      <c r="N67" s="11"/>
      <c r="O67" s="11"/>
      <c r="P67" s="11"/>
      <c r="Q67" s="11"/>
      <c r="R67" s="11"/>
    </row>
    <row r="68" spans="1:18" x14ac:dyDescent="0.2">
      <c r="A68" s="1" t="s">
        <v>18</v>
      </c>
      <c r="B68" s="1">
        <v>25</v>
      </c>
      <c r="C68" s="1">
        <v>1</v>
      </c>
      <c r="D68" s="1">
        <v>0.66090000000000004</v>
      </c>
      <c r="E68" s="1">
        <v>0.2893</v>
      </c>
      <c r="F68" s="1">
        <v>0.94520000000000004</v>
      </c>
      <c r="G68" s="1">
        <v>0.72460000000000002</v>
      </c>
      <c r="H68" s="1">
        <v>0.1123</v>
      </c>
      <c r="K68" s="9"/>
      <c r="L68" s="11"/>
      <c r="M68" s="11"/>
      <c r="N68" s="11"/>
      <c r="O68" s="11"/>
      <c r="P68" s="11"/>
      <c r="Q68" s="11"/>
      <c r="R68" s="11"/>
    </row>
    <row r="69" spans="1:18" x14ac:dyDescent="0.2">
      <c r="A69" s="1" t="s">
        <v>18</v>
      </c>
      <c r="B69" s="1">
        <v>25</v>
      </c>
      <c r="C69" s="1">
        <v>1</v>
      </c>
      <c r="D69" s="1">
        <v>0.61990000000000001</v>
      </c>
      <c r="E69" s="1">
        <v>0.37609999999999999</v>
      </c>
      <c r="F69" s="1">
        <v>0.80149999999999999</v>
      </c>
      <c r="G69" s="1">
        <v>0.79569999999999996</v>
      </c>
      <c r="H69" s="1">
        <v>0.1198</v>
      </c>
      <c r="K69" s="9"/>
      <c r="L69" s="11"/>
      <c r="M69" s="11"/>
      <c r="N69" s="11"/>
      <c r="O69" s="11"/>
      <c r="P69" s="11"/>
      <c r="Q69" s="11"/>
      <c r="R69" s="11"/>
    </row>
    <row r="70" spans="1:18" x14ac:dyDescent="0.2">
      <c r="A70" s="1" t="s">
        <v>18</v>
      </c>
      <c r="B70" s="1">
        <v>25</v>
      </c>
      <c r="C70" s="1">
        <v>1</v>
      </c>
      <c r="D70" s="1">
        <v>0.67190000000000005</v>
      </c>
      <c r="E70" s="1">
        <v>0.22800000000000001</v>
      </c>
      <c r="F70" s="1">
        <v>1.4484999999999999</v>
      </c>
      <c r="G70" s="1">
        <v>0.52129999999999999</v>
      </c>
      <c r="H70" s="1">
        <v>0.1512</v>
      </c>
      <c r="K70" s="9"/>
      <c r="L70" s="11"/>
      <c r="M70" s="11"/>
      <c r="N70" s="11"/>
      <c r="O70" s="11"/>
      <c r="P70" s="11"/>
      <c r="Q70" s="11"/>
      <c r="R70" s="11"/>
    </row>
    <row r="71" spans="1:18" x14ac:dyDescent="0.2">
      <c r="A71" s="1" t="s">
        <v>18</v>
      </c>
      <c r="B71" s="1">
        <v>25</v>
      </c>
      <c r="C71" s="1">
        <v>1</v>
      </c>
      <c r="D71" s="1">
        <v>0.56989999999999996</v>
      </c>
      <c r="E71" s="1">
        <v>0.222</v>
      </c>
      <c r="F71" s="1">
        <v>0.72989999999999999</v>
      </c>
      <c r="G71" s="1">
        <v>0.94789999999999996</v>
      </c>
      <c r="H71" s="1">
        <v>0.1825</v>
      </c>
      <c r="K71" s="9"/>
      <c r="L71" s="11"/>
      <c r="M71" s="11"/>
      <c r="N71" s="11"/>
      <c r="O71" s="11"/>
      <c r="P71" s="11"/>
      <c r="Q71" s="11"/>
      <c r="R71" s="11"/>
    </row>
    <row r="72" spans="1:18" x14ac:dyDescent="0.2">
      <c r="A72" s="1" t="s">
        <v>18</v>
      </c>
      <c r="B72" s="1">
        <v>25</v>
      </c>
      <c r="C72" s="1">
        <v>1</v>
      </c>
      <c r="D72" s="1">
        <v>0.96499999999999997</v>
      </c>
      <c r="E72" s="1">
        <v>0.31759999999999999</v>
      </c>
      <c r="F72" s="1">
        <v>1.0153000000000001</v>
      </c>
      <c r="G72" s="1">
        <v>0.29409999999999997</v>
      </c>
      <c r="H72" s="1">
        <v>0.1123</v>
      </c>
      <c r="K72" s="9"/>
      <c r="L72" s="11"/>
      <c r="M72" s="11"/>
      <c r="N72" s="11"/>
      <c r="O72" s="11"/>
      <c r="P72" s="11"/>
      <c r="Q72" s="11"/>
      <c r="R72" s="11"/>
    </row>
    <row r="73" spans="1:18" x14ac:dyDescent="0.2">
      <c r="A73" s="1" t="s">
        <v>18</v>
      </c>
      <c r="B73" s="1">
        <v>50</v>
      </c>
      <c r="C73" s="1">
        <v>1</v>
      </c>
      <c r="D73" s="1">
        <v>1.6921999999999999</v>
      </c>
      <c r="E73" s="1">
        <v>0.78069999999999995</v>
      </c>
      <c r="F73" s="1">
        <v>1.5471999999999999</v>
      </c>
      <c r="G73" s="1">
        <v>0.91849999999999998</v>
      </c>
      <c r="H73" s="1">
        <v>0.54469999999999996</v>
      </c>
      <c r="K73" s="9"/>
      <c r="L73" s="11"/>
      <c r="M73" s="11"/>
      <c r="N73" s="11"/>
      <c r="O73" s="11"/>
      <c r="P73" s="11"/>
      <c r="Q73" s="11"/>
      <c r="R73" s="11"/>
    </row>
    <row r="74" spans="1:18" x14ac:dyDescent="0.2">
      <c r="A74" s="1" t="s">
        <v>18</v>
      </c>
      <c r="B74" s="1">
        <v>50</v>
      </c>
      <c r="C74" s="1">
        <v>1</v>
      </c>
      <c r="D74" s="1">
        <v>1.5071000000000001</v>
      </c>
      <c r="E74" s="1">
        <v>0.78759999999999997</v>
      </c>
      <c r="F74" s="1">
        <v>1.28</v>
      </c>
      <c r="G74" s="1">
        <v>4.5872000000000002</v>
      </c>
      <c r="H74" s="1">
        <v>0.35880000000000001</v>
      </c>
      <c r="K74" s="9"/>
      <c r="L74" s="11"/>
      <c r="M74" s="11"/>
      <c r="N74" s="11"/>
      <c r="O74" s="11"/>
      <c r="P74" s="11"/>
      <c r="Q74" s="11"/>
      <c r="R74" s="11"/>
    </row>
    <row r="75" spans="1:18" x14ac:dyDescent="0.2">
      <c r="A75" s="1" t="s">
        <v>18</v>
      </c>
      <c r="B75" s="1">
        <v>50</v>
      </c>
      <c r="C75" s="1">
        <v>1</v>
      </c>
      <c r="D75" s="1">
        <v>3.2117</v>
      </c>
      <c r="E75" s="1">
        <v>1.3693</v>
      </c>
      <c r="F75" s="1">
        <v>1.6897</v>
      </c>
      <c r="G75" s="1">
        <v>3.1415999999999999</v>
      </c>
      <c r="H75" s="1">
        <v>0.95789999999999997</v>
      </c>
      <c r="K75" s="9"/>
      <c r="L75" s="11"/>
      <c r="M75" s="11"/>
      <c r="N75" s="11"/>
      <c r="O75" s="11"/>
      <c r="P75" s="11"/>
      <c r="Q75" s="11"/>
      <c r="R75" s="11"/>
    </row>
    <row r="76" spans="1:18" x14ac:dyDescent="0.2">
      <c r="A76" s="1" t="s">
        <v>18</v>
      </c>
      <c r="B76" s="1">
        <v>50</v>
      </c>
      <c r="C76" s="1">
        <v>1</v>
      </c>
      <c r="D76" s="1">
        <v>1.6869000000000001</v>
      </c>
      <c r="E76" s="1">
        <v>0.44190000000000002</v>
      </c>
      <c r="F76" s="1">
        <v>1.2310000000000001</v>
      </c>
      <c r="G76" s="1">
        <v>3.7412999999999998</v>
      </c>
      <c r="H76" s="1">
        <v>0.55330000000000001</v>
      </c>
      <c r="K76" s="9"/>
      <c r="L76" s="11"/>
      <c r="M76" s="11"/>
      <c r="N76" s="11"/>
      <c r="O76" s="11"/>
      <c r="P76" s="11"/>
      <c r="Q76" s="11"/>
      <c r="R76" s="11"/>
    </row>
    <row r="77" spans="1:18" x14ac:dyDescent="0.2">
      <c r="A77" s="1" t="s">
        <v>18</v>
      </c>
      <c r="B77" s="1">
        <v>50</v>
      </c>
      <c r="C77" s="1">
        <v>1</v>
      </c>
      <c r="D77" s="1">
        <v>2.2006999999999999</v>
      </c>
      <c r="E77" s="1">
        <v>0.62490000000000001</v>
      </c>
      <c r="F77" s="1">
        <v>0.89959999999999996</v>
      </c>
      <c r="G77" s="1">
        <v>4.0781000000000001</v>
      </c>
      <c r="H77" s="1">
        <v>0.46970000000000001</v>
      </c>
      <c r="K77" s="9"/>
      <c r="L77" s="11"/>
      <c r="M77" s="11"/>
      <c r="N77" s="11"/>
      <c r="O77" s="11"/>
      <c r="P77" s="11"/>
      <c r="Q77" s="11"/>
      <c r="R77" s="11"/>
    </row>
    <row r="78" spans="1:18" x14ac:dyDescent="0.2">
      <c r="A78" s="1" t="s">
        <v>18</v>
      </c>
      <c r="B78" s="1">
        <v>50</v>
      </c>
      <c r="C78" s="1">
        <v>1</v>
      </c>
      <c r="D78" s="1">
        <v>2.0141</v>
      </c>
      <c r="E78" s="1">
        <v>0.74880000000000002</v>
      </c>
      <c r="F78" s="1">
        <v>1.9172</v>
      </c>
      <c r="G78" s="1">
        <v>4.0598999999999998</v>
      </c>
      <c r="H78" s="1">
        <v>0.34129999999999999</v>
      </c>
      <c r="K78" s="9"/>
      <c r="L78" s="11"/>
      <c r="M78" s="11"/>
      <c r="N78" s="11"/>
      <c r="O78" s="11"/>
      <c r="P78" s="11"/>
      <c r="Q78" s="11"/>
      <c r="R78" s="11"/>
    </row>
    <row r="79" spans="1:18" x14ac:dyDescent="0.2">
      <c r="A79" s="1" t="s">
        <v>18</v>
      </c>
      <c r="B79" s="1">
        <v>50</v>
      </c>
      <c r="C79" s="1">
        <v>1</v>
      </c>
      <c r="D79" s="1">
        <v>2.0400999999999998</v>
      </c>
      <c r="E79" s="1">
        <v>2.9228999999999998</v>
      </c>
      <c r="F79" s="1">
        <v>2.3338000000000001</v>
      </c>
      <c r="G79" s="1">
        <v>3.5524</v>
      </c>
      <c r="H79" s="1">
        <v>0.4652</v>
      </c>
      <c r="K79" s="9"/>
      <c r="L79" s="11"/>
      <c r="M79" s="11"/>
      <c r="N79" s="11"/>
      <c r="O79" s="11"/>
      <c r="P79" s="11"/>
      <c r="Q79" s="11"/>
      <c r="R79" s="11"/>
    </row>
    <row r="80" spans="1:18" x14ac:dyDescent="0.2">
      <c r="A80" s="1" t="s">
        <v>18</v>
      </c>
      <c r="B80" s="1">
        <v>50</v>
      </c>
      <c r="C80" s="1">
        <v>1</v>
      </c>
      <c r="D80" s="1">
        <v>2.1663999999999999</v>
      </c>
      <c r="E80" s="1">
        <v>0.50180000000000002</v>
      </c>
      <c r="F80" s="1">
        <v>1.2977000000000001</v>
      </c>
      <c r="G80" s="1">
        <v>3.4826999999999999</v>
      </c>
      <c r="H80" s="1">
        <v>0.34489999999999998</v>
      </c>
      <c r="K80" s="9"/>
      <c r="L80" s="11"/>
      <c r="M80" s="11"/>
      <c r="N80" s="11"/>
      <c r="O80" s="11"/>
      <c r="P80" s="11"/>
      <c r="Q80" s="11"/>
      <c r="R80" s="11"/>
    </row>
    <row r="81" spans="1:18" x14ac:dyDescent="0.2">
      <c r="A81" s="1" t="s">
        <v>18</v>
      </c>
      <c r="B81" s="1">
        <v>50</v>
      </c>
      <c r="C81" s="1">
        <v>1</v>
      </c>
      <c r="D81" s="1">
        <v>2.1269</v>
      </c>
      <c r="E81" s="1">
        <v>0.98629999999999995</v>
      </c>
      <c r="F81" s="1">
        <v>1.9351</v>
      </c>
      <c r="G81" s="1">
        <v>3.4388999999999998</v>
      </c>
      <c r="H81" s="1">
        <v>0.33650000000000002</v>
      </c>
      <c r="K81" s="9"/>
      <c r="L81" s="11"/>
      <c r="M81" s="11"/>
      <c r="N81" s="11"/>
      <c r="O81" s="11"/>
      <c r="P81" s="11"/>
      <c r="Q81" s="11"/>
      <c r="R81" s="11"/>
    </row>
    <row r="82" spans="1:18" x14ac:dyDescent="0.2">
      <c r="A82" s="1" t="s">
        <v>18</v>
      </c>
      <c r="B82" s="1">
        <v>50</v>
      </c>
      <c r="C82" s="1">
        <v>1</v>
      </c>
      <c r="D82" s="1">
        <v>1.5054000000000001</v>
      </c>
      <c r="E82" s="1">
        <v>0.87839999999999996</v>
      </c>
      <c r="F82" s="1">
        <v>2.0926999999999998</v>
      </c>
      <c r="G82" s="1">
        <v>2.6674000000000002</v>
      </c>
      <c r="H82" s="1">
        <v>0.70079999999999998</v>
      </c>
      <c r="K82" s="9"/>
      <c r="L82" s="11"/>
      <c r="M82" s="11"/>
      <c r="N82" s="11"/>
      <c r="O82" s="11"/>
      <c r="P82" s="11"/>
      <c r="Q82" s="11"/>
      <c r="R82" s="11"/>
    </row>
    <row r="83" spans="1:18" x14ac:dyDescent="0.2">
      <c r="A83" s="1" t="s">
        <v>18</v>
      </c>
      <c r="B83" s="1">
        <v>100</v>
      </c>
      <c r="C83" s="1">
        <v>1</v>
      </c>
      <c r="D83" s="1">
        <v>7.8426999999999998</v>
      </c>
      <c r="E83" s="1">
        <v>3.2004000000000001</v>
      </c>
      <c r="F83" s="1">
        <v>4.2720000000000002</v>
      </c>
      <c r="G83" s="1">
        <v>6.6416000000000004</v>
      </c>
      <c r="H83" s="1">
        <v>1.2495000000000001</v>
      </c>
      <c r="K83" s="9"/>
      <c r="L83" s="11"/>
      <c r="M83" s="11"/>
      <c r="N83" s="11"/>
      <c r="O83" s="11"/>
      <c r="P83" s="11"/>
      <c r="Q83" s="11"/>
      <c r="R83" s="11"/>
    </row>
    <row r="84" spans="1:18" x14ac:dyDescent="0.2">
      <c r="A84" s="1" t="s">
        <v>18</v>
      </c>
      <c r="B84" s="1">
        <v>100</v>
      </c>
      <c r="C84" s="1">
        <v>1</v>
      </c>
      <c r="D84" s="1">
        <v>7.5240999999999998</v>
      </c>
      <c r="E84" s="1">
        <v>2.6951000000000001</v>
      </c>
      <c r="F84" s="1">
        <v>6.8018000000000001</v>
      </c>
      <c r="G84" s="1">
        <v>10.0687</v>
      </c>
      <c r="H84" s="1">
        <v>4.5385</v>
      </c>
      <c r="K84" s="9"/>
      <c r="L84" s="11"/>
      <c r="M84" s="11"/>
      <c r="N84" s="11"/>
      <c r="O84" s="11"/>
      <c r="P84" s="11"/>
      <c r="Q84" s="11"/>
      <c r="R84" s="11"/>
    </row>
    <row r="85" spans="1:18" x14ac:dyDescent="0.2">
      <c r="A85" s="1" t="s">
        <v>18</v>
      </c>
      <c r="B85" s="1">
        <v>100</v>
      </c>
      <c r="C85" s="1">
        <v>1</v>
      </c>
      <c r="D85" s="1">
        <v>8.9169999999999998</v>
      </c>
      <c r="E85" s="1">
        <v>3.9721000000000002</v>
      </c>
      <c r="F85" s="1">
        <v>5.0521000000000003</v>
      </c>
      <c r="G85" s="1">
        <v>4.6166</v>
      </c>
      <c r="H85" s="1">
        <v>2.2437</v>
      </c>
      <c r="K85" s="9"/>
      <c r="L85" s="11"/>
      <c r="M85" s="11"/>
      <c r="N85" s="11"/>
      <c r="O85" s="11"/>
      <c r="P85" s="11"/>
      <c r="Q85" s="11"/>
      <c r="R85" s="11"/>
    </row>
    <row r="86" spans="1:18" x14ac:dyDescent="0.2">
      <c r="A86" s="1" t="s">
        <v>18</v>
      </c>
      <c r="B86" s="1">
        <v>100</v>
      </c>
      <c r="C86" s="1">
        <v>1</v>
      </c>
      <c r="D86" s="1">
        <v>5.7058</v>
      </c>
      <c r="E86" s="1">
        <v>4.5164999999999997</v>
      </c>
      <c r="F86" s="1">
        <v>5.9173</v>
      </c>
      <c r="G86" s="1">
        <v>11.5724</v>
      </c>
      <c r="H86" s="1">
        <v>1.2986</v>
      </c>
      <c r="K86" s="9"/>
      <c r="L86" s="11"/>
      <c r="M86" s="11"/>
      <c r="N86" s="11"/>
      <c r="O86" s="11"/>
      <c r="P86" s="11"/>
      <c r="Q86" s="11"/>
      <c r="R86" s="11"/>
    </row>
    <row r="87" spans="1:18" x14ac:dyDescent="0.2">
      <c r="A87" s="1" t="s">
        <v>18</v>
      </c>
      <c r="B87" s="1">
        <v>100</v>
      </c>
      <c r="C87" s="1">
        <v>1</v>
      </c>
      <c r="D87" s="1">
        <v>9.8091000000000008</v>
      </c>
      <c r="E87" s="1">
        <v>1.3740000000000001</v>
      </c>
      <c r="F87" s="1">
        <v>8.6735000000000007</v>
      </c>
      <c r="G87" s="1">
        <v>18.903199999999998</v>
      </c>
      <c r="H87" s="1">
        <v>3.0337000000000001</v>
      </c>
      <c r="K87" s="9"/>
      <c r="L87" s="11"/>
      <c r="M87" s="11"/>
      <c r="N87" s="11"/>
      <c r="O87" s="11"/>
      <c r="P87" s="11"/>
      <c r="Q87" s="11"/>
      <c r="R87" s="11"/>
    </row>
    <row r="88" spans="1:18" x14ac:dyDescent="0.2">
      <c r="A88" s="1" t="s">
        <v>18</v>
      </c>
      <c r="B88" s="1">
        <v>100</v>
      </c>
      <c r="C88" s="1">
        <v>1</v>
      </c>
      <c r="D88" s="1">
        <v>6.6604000000000001</v>
      </c>
      <c r="E88" s="1">
        <v>3.1644000000000001</v>
      </c>
      <c r="F88" s="1">
        <v>6.8906000000000001</v>
      </c>
      <c r="G88" s="1">
        <v>5.6128999999999998</v>
      </c>
      <c r="H88" s="1">
        <v>1.4477</v>
      </c>
      <c r="K88" s="9"/>
      <c r="L88" s="11"/>
      <c r="M88" s="11"/>
      <c r="N88" s="11"/>
      <c r="O88" s="11"/>
      <c r="P88" s="11"/>
      <c r="Q88" s="11"/>
      <c r="R88" s="11"/>
    </row>
    <row r="89" spans="1:18" x14ac:dyDescent="0.2">
      <c r="A89" s="1" t="s">
        <v>18</v>
      </c>
      <c r="B89" s="1">
        <v>100</v>
      </c>
      <c r="C89" s="1">
        <v>1</v>
      </c>
      <c r="D89" s="1">
        <v>7.8181000000000003</v>
      </c>
      <c r="E89" s="1">
        <v>1.3560000000000001</v>
      </c>
      <c r="F89" s="1">
        <v>6.7994000000000003</v>
      </c>
      <c r="G89" s="1">
        <v>13.4993</v>
      </c>
      <c r="H89" s="1">
        <v>1.1874</v>
      </c>
      <c r="K89" s="9"/>
      <c r="L89" s="11"/>
      <c r="M89" s="11"/>
      <c r="N89" s="11"/>
      <c r="O89" s="11"/>
      <c r="P89" s="11"/>
      <c r="Q89" s="11"/>
      <c r="R89" s="11"/>
    </row>
    <row r="90" spans="1:18" x14ac:dyDescent="0.2">
      <c r="A90" s="1" t="s">
        <v>18</v>
      </c>
      <c r="B90" s="1">
        <v>100</v>
      </c>
      <c r="C90" s="1">
        <v>1</v>
      </c>
      <c r="D90" s="1">
        <v>8.2093000000000007</v>
      </c>
      <c r="E90" s="1">
        <v>1.3353999999999999</v>
      </c>
      <c r="F90" s="1">
        <v>5.3777999999999997</v>
      </c>
      <c r="G90" s="1">
        <v>13.6312</v>
      </c>
      <c r="H90" s="1">
        <v>2.2303999999999999</v>
      </c>
      <c r="K90" s="9"/>
      <c r="L90" s="11"/>
      <c r="M90" s="11"/>
      <c r="N90" s="11"/>
      <c r="O90" s="11"/>
      <c r="P90" s="11"/>
      <c r="Q90" s="11"/>
      <c r="R90" s="11"/>
    </row>
    <row r="91" spans="1:18" x14ac:dyDescent="0.2">
      <c r="A91" s="1" t="s">
        <v>18</v>
      </c>
      <c r="B91" s="1">
        <v>100</v>
      </c>
      <c r="C91" s="1">
        <v>1</v>
      </c>
      <c r="D91" s="1">
        <v>5.8235999999999999</v>
      </c>
      <c r="E91" s="1">
        <v>3.7059000000000002</v>
      </c>
      <c r="F91" s="1">
        <v>4.6696</v>
      </c>
      <c r="G91" s="1">
        <v>11.5672</v>
      </c>
      <c r="H91" s="1">
        <v>2.6625999999999999</v>
      </c>
      <c r="K91" s="9"/>
      <c r="L91" s="11"/>
      <c r="M91" s="11"/>
      <c r="N91" s="11"/>
      <c r="O91" s="11"/>
      <c r="P91" s="11"/>
      <c r="Q91" s="11"/>
      <c r="R91" s="11"/>
    </row>
    <row r="92" spans="1:18" x14ac:dyDescent="0.2">
      <c r="A92" s="1" t="s">
        <v>18</v>
      </c>
      <c r="B92" s="1">
        <v>100</v>
      </c>
      <c r="C92" s="1">
        <v>1</v>
      </c>
      <c r="D92" s="1">
        <v>6.3287000000000004</v>
      </c>
      <c r="E92" s="1">
        <v>2.4209000000000001</v>
      </c>
      <c r="F92" s="1">
        <v>8.7973999999999997</v>
      </c>
      <c r="G92" s="1">
        <v>16.975999999999999</v>
      </c>
      <c r="H92" s="1">
        <v>1.2614000000000001</v>
      </c>
      <c r="K92" s="9"/>
      <c r="L92" s="11"/>
      <c r="M92" s="11"/>
      <c r="N92" s="11"/>
      <c r="O92" s="11"/>
      <c r="P92" s="11"/>
      <c r="Q92" s="11"/>
      <c r="R92" s="11"/>
    </row>
  </sheetData>
  <phoneticPr fontId="7" type="noConversion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92"/>
  <sheetViews>
    <sheetView workbookViewId="0">
      <selection activeCell="T27" sqref="T27"/>
    </sheetView>
  </sheetViews>
  <sheetFormatPr defaultRowHeight="14.25" x14ac:dyDescent="0.2"/>
  <cols>
    <col min="1" max="1" width="12.125" style="1" bestFit="1" customWidth="1"/>
    <col min="2" max="2" width="4.5" style="1" bestFit="1" customWidth="1"/>
    <col min="3" max="3" width="2.5" style="1" bestFit="1" customWidth="1"/>
    <col min="4" max="4" width="12.75" style="1" bestFit="1" customWidth="1"/>
    <col min="5" max="5" width="8.5" style="1" bestFit="1" customWidth="1"/>
    <col min="6" max="6" width="4.5" style="1" bestFit="1" customWidth="1"/>
    <col min="7" max="7" width="12.75" style="1" bestFit="1" customWidth="1"/>
    <col min="8" max="8" width="7.5" style="1" bestFit="1" customWidth="1"/>
    <col min="9" max="9" width="3.5" style="1" bestFit="1" customWidth="1"/>
    <col min="10" max="10" width="12.75" style="1" bestFit="1" customWidth="1"/>
    <col min="11" max="11" width="8.5" style="1" bestFit="1" customWidth="1"/>
    <col min="12" max="12" width="4.5" style="1" bestFit="1" customWidth="1"/>
    <col min="13" max="13" width="12.75" style="1" bestFit="1" customWidth="1"/>
    <col min="14" max="14" width="9.625" style="1" bestFit="1" customWidth="1"/>
    <col min="15" max="15" width="4.5" style="1" bestFit="1" customWidth="1"/>
    <col min="16" max="16" width="12.75" style="1" bestFit="1" customWidth="1"/>
    <col min="17" max="17" width="7.5" style="1" bestFit="1" customWidth="1"/>
    <col min="18" max="18" width="4.5" style="1" bestFit="1" customWidth="1"/>
  </cols>
  <sheetData>
    <row r="1" spans="1:33" s="4" customFormat="1" x14ac:dyDescent="0.2">
      <c r="D1" s="5" t="s">
        <v>0</v>
      </c>
      <c r="E1" s="5" t="s">
        <v>0</v>
      </c>
      <c r="G1" s="5" t="s">
        <v>1</v>
      </c>
      <c r="H1" s="5" t="s">
        <v>1</v>
      </c>
      <c r="J1" s="5" t="s">
        <v>2</v>
      </c>
      <c r="K1" s="5" t="s">
        <v>2</v>
      </c>
      <c r="M1" s="5" t="s">
        <v>3</v>
      </c>
      <c r="N1" s="5" t="s">
        <v>3</v>
      </c>
      <c r="P1" s="5" t="s">
        <v>4</v>
      </c>
      <c r="Q1" s="5" t="s">
        <v>4</v>
      </c>
    </row>
    <row r="2" spans="1:33" x14ac:dyDescent="0.2">
      <c r="A2" s="4"/>
      <c r="B2" s="4"/>
      <c r="C2" s="4"/>
      <c r="D2" s="5" t="s">
        <v>19</v>
      </c>
      <c r="E2" s="5" t="s">
        <v>6</v>
      </c>
      <c r="F2" s="4" t="s">
        <v>20</v>
      </c>
      <c r="G2" s="5" t="s">
        <v>19</v>
      </c>
      <c r="H2" s="5" t="s">
        <v>6</v>
      </c>
      <c r="I2" s="4" t="s">
        <v>20</v>
      </c>
      <c r="J2" s="5" t="s">
        <v>19</v>
      </c>
      <c r="K2" s="5" t="s">
        <v>6</v>
      </c>
      <c r="L2" s="4" t="s">
        <v>20</v>
      </c>
      <c r="M2" s="5" t="s">
        <v>19</v>
      </c>
      <c r="N2" s="5" t="s">
        <v>6</v>
      </c>
      <c r="O2" s="4" t="s">
        <v>20</v>
      </c>
      <c r="P2" s="5" t="s">
        <v>19</v>
      </c>
      <c r="Q2" s="5" t="s">
        <v>6</v>
      </c>
      <c r="R2" s="4" t="s">
        <v>20</v>
      </c>
      <c r="S2" s="5"/>
      <c r="T2" s="5"/>
      <c r="U2" s="4"/>
    </row>
    <row r="3" spans="1:33" x14ac:dyDescent="0.2">
      <c r="A3" t="s">
        <v>7</v>
      </c>
      <c r="B3">
        <v>24</v>
      </c>
      <c r="C3">
        <v>1</v>
      </c>
      <c r="D3">
        <v>56488.264999999999</v>
      </c>
      <c r="E3">
        <v>1.7593000000000001</v>
      </c>
      <c r="F3">
        <v>57</v>
      </c>
      <c r="G3">
        <v>56086.069900000002</v>
      </c>
      <c r="H3">
        <v>0.20530000000000001</v>
      </c>
      <c r="I3">
        <v>13</v>
      </c>
      <c r="J3">
        <v>56330.787499999999</v>
      </c>
      <c r="K3">
        <v>0.7298</v>
      </c>
      <c r="L3">
        <v>54</v>
      </c>
      <c r="M3">
        <v>56101.617100000003</v>
      </c>
      <c r="N3">
        <v>0.51500000000000001</v>
      </c>
      <c r="O3">
        <v>31</v>
      </c>
      <c r="P3">
        <v>56246.101499999997</v>
      </c>
      <c r="Q3">
        <v>0.27889999999999998</v>
      </c>
      <c r="R3">
        <v>135</v>
      </c>
    </row>
    <row r="4" spans="1:33" x14ac:dyDescent="0.2">
      <c r="A4" t="s">
        <v>7</v>
      </c>
      <c r="B4">
        <v>24</v>
      </c>
      <c r="C4">
        <v>1</v>
      </c>
      <c r="D4">
        <v>56160.62</v>
      </c>
      <c r="E4">
        <v>1.1588000000000001</v>
      </c>
      <c r="F4">
        <v>35</v>
      </c>
      <c r="G4">
        <v>56120.867700000003</v>
      </c>
      <c r="H4">
        <v>0.1168</v>
      </c>
      <c r="I4">
        <v>7</v>
      </c>
      <c r="J4">
        <v>56016.3174</v>
      </c>
      <c r="K4">
        <v>0.95489999999999997</v>
      </c>
      <c r="L4">
        <v>81</v>
      </c>
      <c r="M4">
        <v>56101.596400000002</v>
      </c>
      <c r="N4">
        <v>0.2636</v>
      </c>
      <c r="O4">
        <v>14</v>
      </c>
      <c r="P4">
        <v>56512.579299999998</v>
      </c>
      <c r="Q4">
        <v>0.45150000000000001</v>
      </c>
      <c r="R4">
        <v>215</v>
      </c>
    </row>
    <row r="5" spans="1:33" x14ac:dyDescent="0.2">
      <c r="A5" t="s">
        <v>7</v>
      </c>
      <c r="B5">
        <v>24</v>
      </c>
      <c r="C5">
        <v>1</v>
      </c>
      <c r="D5">
        <v>56835.605199999998</v>
      </c>
      <c r="E5">
        <v>1.7605999999999999</v>
      </c>
      <c r="F5">
        <v>56</v>
      </c>
      <c r="G5">
        <v>56089.507400000002</v>
      </c>
      <c r="H5">
        <v>0.2908</v>
      </c>
      <c r="I5">
        <v>19</v>
      </c>
      <c r="J5">
        <v>55628.641900000002</v>
      </c>
      <c r="K5">
        <v>0.93189999999999995</v>
      </c>
      <c r="L5">
        <v>77</v>
      </c>
      <c r="M5">
        <v>56102.540099999998</v>
      </c>
      <c r="N5">
        <v>0.50049999999999994</v>
      </c>
      <c r="O5">
        <v>26</v>
      </c>
      <c r="P5">
        <v>56326.3033</v>
      </c>
      <c r="Q5">
        <v>0.30740000000000001</v>
      </c>
      <c r="R5">
        <v>132</v>
      </c>
      <c r="AG5" s="13"/>
    </row>
    <row r="6" spans="1:33" x14ac:dyDescent="0.2">
      <c r="A6" t="s">
        <v>7</v>
      </c>
      <c r="B6">
        <v>24</v>
      </c>
      <c r="C6">
        <v>1</v>
      </c>
      <c r="D6">
        <v>56672.188399999999</v>
      </c>
      <c r="E6">
        <v>1.5575000000000001</v>
      </c>
      <c r="F6">
        <v>50</v>
      </c>
      <c r="G6">
        <v>56120.867700000003</v>
      </c>
      <c r="H6">
        <v>0.1167</v>
      </c>
      <c r="I6">
        <v>7</v>
      </c>
      <c r="J6">
        <v>56430.510999999999</v>
      </c>
      <c r="K6">
        <v>0.86909999999999998</v>
      </c>
      <c r="L6">
        <v>67</v>
      </c>
      <c r="M6">
        <v>56102.540099999998</v>
      </c>
      <c r="N6">
        <v>0.42330000000000001</v>
      </c>
      <c r="O6">
        <v>24</v>
      </c>
      <c r="P6">
        <v>56375.9467</v>
      </c>
      <c r="Q6">
        <v>0.24429999999999999</v>
      </c>
      <c r="R6">
        <v>112</v>
      </c>
    </row>
    <row r="7" spans="1:33" x14ac:dyDescent="0.2">
      <c r="A7" t="s">
        <v>7</v>
      </c>
      <c r="B7">
        <v>24</v>
      </c>
      <c r="C7">
        <v>1</v>
      </c>
      <c r="D7">
        <v>55601.002999999997</v>
      </c>
      <c r="E7">
        <v>1.3664000000000001</v>
      </c>
      <c r="F7">
        <v>46</v>
      </c>
      <c r="G7">
        <v>56120.867700000003</v>
      </c>
      <c r="H7">
        <v>0.11840000000000001</v>
      </c>
      <c r="I7">
        <v>7</v>
      </c>
      <c r="J7">
        <v>56160.852099999996</v>
      </c>
      <c r="K7">
        <v>0.86050000000000004</v>
      </c>
      <c r="L7">
        <v>68</v>
      </c>
      <c r="M7">
        <v>56120.867700000003</v>
      </c>
      <c r="N7">
        <v>0.2094</v>
      </c>
      <c r="O7">
        <v>11</v>
      </c>
      <c r="P7">
        <v>56357.248800000001</v>
      </c>
      <c r="Q7">
        <v>0.33179999999999998</v>
      </c>
      <c r="R7">
        <v>128</v>
      </c>
    </row>
    <row r="8" spans="1:33" x14ac:dyDescent="0.2">
      <c r="A8" t="s">
        <v>7</v>
      </c>
      <c r="B8">
        <v>24</v>
      </c>
      <c r="C8">
        <v>1</v>
      </c>
      <c r="D8">
        <v>55854.964200000002</v>
      </c>
      <c r="E8">
        <v>0.82830000000000004</v>
      </c>
      <c r="F8">
        <v>25</v>
      </c>
      <c r="G8">
        <v>56120.867700000003</v>
      </c>
      <c r="H8">
        <v>0.13320000000000001</v>
      </c>
      <c r="I8">
        <v>7</v>
      </c>
      <c r="J8">
        <v>56072.724399999999</v>
      </c>
      <c r="K8">
        <v>0.64949999999999997</v>
      </c>
      <c r="L8">
        <v>53</v>
      </c>
      <c r="M8">
        <v>56076.8992</v>
      </c>
      <c r="N8">
        <v>0.51790000000000003</v>
      </c>
      <c r="O8">
        <v>30</v>
      </c>
      <c r="P8">
        <v>56033.1132</v>
      </c>
      <c r="Q8">
        <v>0.39710000000000001</v>
      </c>
      <c r="R8">
        <v>186</v>
      </c>
    </row>
    <row r="9" spans="1:33" x14ac:dyDescent="0.2">
      <c r="A9" t="s">
        <v>7</v>
      </c>
      <c r="B9">
        <v>24</v>
      </c>
      <c r="C9">
        <v>1</v>
      </c>
      <c r="D9">
        <v>55629.152600000001</v>
      </c>
      <c r="E9">
        <v>0.93200000000000005</v>
      </c>
      <c r="F9">
        <v>29</v>
      </c>
      <c r="G9">
        <v>56089.507400000002</v>
      </c>
      <c r="H9">
        <v>0.22170000000000001</v>
      </c>
      <c r="I9">
        <v>14</v>
      </c>
      <c r="J9">
        <v>56232.096299999997</v>
      </c>
      <c r="K9">
        <v>0.69989999999999997</v>
      </c>
      <c r="L9">
        <v>58</v>
      </c>
      <c r="M9">
        <v>56102.540099999998</v>
      </c>
      <c r="N9">
        <v>0.35630000000000001</v>
      </c>
      <c r="O9">
        <v>20</v>
      </c>
      <c r="P9">
        <v>56174.003199999999</v>
      </c>
      <c r="Q9">
        <v>0.44409999999999999</v>
      </c>
      <c r="R9">
        <v>215</v>
      </c>
    </row>
    <row r="10" spans="1:33" x14ac:dyDescent="0.2">
      <c r="A10" t="s">
        <v>7</v>
      </c>
      <c r="B10">
        <v>24</v>
      </c>
      <c r="C10">
        <v>1</v>
      </c>
      <c r="D10">
        <v>56991.2183</v>
      </c>
      <c r="E10">
        <v>0.71760000000000002</v>
      </c>
      <c r="F10">
        <v>24</v>
      </c>
      <c r="G10">
        <v>56102.540099999998</v>
      </c>
      <c r="H10">
        <v>0.2127</v>
      </c>
      <c r="I10">
        <v>9</v>
      </c>
      <c r="J10">
        <v>56514.451099999998</v>
      </c>
      <c r="K10">
        <v>0.58740000000000003</v>
      </c>
      <c r="L10">
        <v>45</v>
      </c>
      <c r="M10">
        <v>56120.867700000003</v>
      </c>
      <c r="N10">
        <v>0.21529999999999999</v>
      </c>
      <c r="O10">
        <v>11</v>
      </c>
      <c r="P10">
        <v>56325.340900000003</v>
      </c>
      <c r="Q10">
        <v>0.2984</v>
      </c>
      <c r="R10">
        <v>139</v>
      </c>
    </row>
    <row r="11" spans="1:33" x14ac:dyDescent="0.2">
      <c r="A11" t="s">
        <v>7</v>
      </c>
      <c r="B11">
        <v>24</v>
      </c>
      <c r="C11">
        <v>1</v>
      </c>
      <c r="D11">
        <v>56159.365100000003</v>
      </c>
      <c r="E11">
        <v>0.88660000000000005</v>
      </c>
      <c r="F11">
        <v>27</v>
      </c>
      <c r="G11">
        <v>56101.743999999999</v>
      </c>
      <c r="H11">
        <v>0.2465</v>
      </c>
      <c r="I11">
        <v>16</v>
      </c>
      <c r="J11">
        <v>56351.059200000003</v>
      </c>
      <c r="K11">
        <v>1.0517000000000001</v>
      </c>
      <c r="L11">
        <v>81</v>
      </c>
      <c r="M11">
        <v>56078.290500000003</v>
      </c>
      <c r="N11">
        <v>0.47420000000000001</v>
      </c>
      <c r="O11">
        <v>27</v>
      </c>
      <c r="P11">
        <v>56157.983999999997</v>
      </c>
      <c r="Q11">
        <v>0.31230000000000002</v>
      </c>
      <c r="R11">
        <v>151</v>
      </c>
    </row>
    <row r="12" spans="1:33" x14ac:dyDescent="0.2">
      <c r="A12" t="s">
        <v>7</v>
      </c>
      <c r="B12">
        <v>24</v>
      </c>
      <c r="C12">
        <v>1</v>
      </c>
      <c r="D12">
        <v>55725.714800000002</v>
      </c>
      <c r="E12">
        <v>1.3791</v>
      </c>
      <c r="F12">
        <v>45</v>
      </c>
      <c r="G12">
        <v>56108.711000000003</v>
      </c>
      <c r="H12">
        <v>0.18970000000000001</v>
      </c>
      <c r="I12">
        <v>12</v>
      </c>
      <c r="J12">
        <v>57292.399799999999</v>
      </c>
      <c r="K12">
        <v>0.61809999999999998</v>
      </c>
      <c r="L12">
        <v>41</v>
      </c>
      <c r="M12">
        <v>56112.933700000001</v>
      </c>
      <c r="N12">
        <v>0.27839999999999998</v>
      </c>
      <c r="O12">
        <v>15</v>
      </c>
      <c r="P12">
        <v>55957.099300000002</v>
      </c>
      <c r="Q12">
        <v>0.27239999999999998</v>
      </c>
      <c r="R12">
        <v>97</v>
      </c>
    </row>
    <row r="13" spans="1:33" x14ac:dyDescent="0.2">
      <c r="A13" t="s">
        <v>7</v>
      </c>
      <c r="B13">
        <v>47</v>
      </c>
      <c r="C13">
        <v>1</v>
      </c>
      <c r="D13">
        <v>126365.7262</v>
      </c>
      <c r="E13">
        <v>3.9655999999999998</v>
      </c>
      <c r="F13">
        <v>76</v>
      </c>
      <c r="G13">
        <v>132989.4572</v>
      </c>
      <c r="H13">
        <v>1.5234000000000001</v>
      </c>
      <c r="I13">
        <v>29</v>
      </c>
      <c r="J13">
        <v>131760.6428</v>
      </c>
      <c r="K13">
        <v>2.7389999999999999</v>
      </c>
      <c r="L13">
        <v>138</v>
      </c>
      <c r="M13">
        <v>126248.09420000001</v>
      </c>
      <c r="N13">
        <v>3.1408999999999998</v>
      </c>
      <c r="O13">
        <v>60</v>
      </c>
      <c r="P13">
        <v>128060.5759</v>
      </c>
      <c r="Q13">
        <v>1.9419999999999999</v>
      </c>
      <c r="R13">
        <v>410</v>
      </c>
    </row>
    <row r="14" spans="1:33" x14ac:dyDescent="0.2">
      <c r="A14" t="s">
        <v>7</v>
      </c>
      <c r="B14">
        <v>47</v>
      </c>
      <c r="C14">
        <v>1</v>
      </c>
      <c r="D14">
        <v>128318.40730000001</v>
      </c>
      <c r="E14">
        <v>4.2831000000000001</v>
      </c>
      <c r="F14">
        <v>83</v>
      </c>
      <c r="G14">
        <v>132988.8799</v>
      </c>
      <c r="H14">
        <v>0.91579999999999995</v>
      </c>
      <c r="I14">
        <v>17</v>
      </c>
      <c r="J14">
        <v>128171.5631</v>
      </c>
      <c r="K14">
        <v>3.8704000000000001</v>
      </c>
      <c r="L14">
        <v>202</v>
      </c>
      <c r="M14">
        <v>129676.2763</v>
      </c>
      <c r="N14">
        <v>0.96340000000000003</v>
      </c>
      <c r="O14">
        <v>15</v>
      </c>
      <c r="P14">
        <v>129114.5996</v>
      </c>
      <c r="Q14">
        <v>0.76</v>
      </c>
      <c r="R14">
        <v>166</v>
      </c>
    </row>
    <row r="15" spans="1:33" x14ac:dyDescent="0.2">
      <c r="A15" t="s">
        <v>7</v>
      </c>
      <c r="B15">
        <v>47</v>
      </c>
      <c r="C15">
        <v>1</v>
      </c>
      <c r="D15">
        <v>128589.62820000001</v>
      </c>
      <c r="E15">
        <v>3.96</v>
      </c>
      <c r="F15">
        <v>74</v>
      </c>
      <c r="G15">
        <v>132989.96780000001</v>
      </c>
      <c r="H15">
        <v>0.86339999999999995</v>
      </c>
      <c r="I15">
        <v>16</v>
      </c>
      <c r="J15">
        <v>130555.7543</v>
      </c>
      <c r="K15">
        <v>1.6834</v>
      </c>
      <c r="L15" s="13">
        <v>86</v>
      </c>
      <c r="M15">
        <v>128439.1482</v>
      </c>
      <c r="N15">
        <v>0.88700000000000001</v>
      </c>
      <c r="O15">
        <v>14</v>
      </c>
      <c r="P15">
        <v>127199.17359999999</v>
      </c>
      <c r="Q15">
        <v>1.7196</v>
      </c>
      <c r="R15">
        <v>365</v>
      </c>
    </row>
    <row r="16" spans="1:33" x14ac:dyDescent="0.2">
      <c r="A16" t="s">
        <v>7</v>
      </c>
      <c r="B16">
        <v>47</v>
      </c>
      <c r="C16">
        <v>1</v>
      </c>
      <c r="D16">
        <v>127644.1332</v>
      </c>
      <c r="E16">
        <v>4.2868000000000004</v>
      </c>
      <c r="F16">
        <v>79</v>
      </c>
      <c r="G16">
        <v>132993.20370000001</v>
      </c>
      <c r="H16">
        <v>0.80179999999999996</v>
      </c>
      <c r="I16">
        <v>14</v>
      </c>
      <c r="J16">
        <v>127907.21890000001</v>
      </c>
      <c r="K16">
        <v>3.3496999999999999</v>
      </c>
      <c r="L16">
        <v>173</v>
      </c>
      <c r="M16">
        <v>128148.6293</v>
      </c>
      <c r="N16">
        <v>0.96970000000000001</v>
      </c>
      <c r="O16">
        <v>15</v>
      </c>
      <c r="P16">
        <v>128680.4169</v>
      </c>
      <c r="Q16">
        <v>1.8002</v>
      </c>
      <c r="R16">
        <v>401</v>
      </c>
    </row>
    <row r="17" spans="1:18" x14ac:dyDescent="0.2">
      <c r="A17" t="s">
        <v>7</v>
      </c>
      <c r="B17">
        <v>47</v>
      </c>
      <c r="C17">
        <v>1</v>
      </c>
      <c r="D17">
        <v>126993.7893</v>
      </c>
      <c r="E17">
        <v>5.0354999999999999</v>
      </c>
      <c r="F17">
        <v>97</v>
      </c>
      <c r="G17">
        <v>132971.07740000001</v>
      </c>
      <c r="H17">
        <v>0.51349999999999996</v>
      </c>
      <c r="I17">
        <v>9</v>
      </c>
      <c r="J17">
        <v>130881.7362</v>
      </c>
      <c r="K17">
        <v>3.5935000000000001</v>
      </c>
      <c r="L17">
        <v>186</v>
      </c>
      <c r="M17">
        <v>126639.3998</v>
      </c>
      <c r="N17">
        <v>3.1798000000000002</v>
      </c>
      <c r="O17">
        <v>59</v>
      </c>
      <c r="P17">
        <v>126683.91439999999</v>
      </c>
      <c r="Q17">
        <v>0.63560000000000005</v>
      </c>
      <c r="R17">
        <v>139</v>
      </c>
    </row>
    <row r="18" spans="1:18" x14ac:dyDescent="0.2">
      <c r="A18" t="s">
        <v>7</v>
      </c>
      <c r="B18">
        <v>47</v>
      </c>
      <c r="C18">
        <v>1</v>
      </c>
      <c r="D18">
        <v>127176.96950000001</v>
      </c>
      <c r="E18">
        <v>4.0366999999999997</v>
      </c>
      <c r="F18">
        <v>71</v>
      </c>
      <c r="G18">
        <v>132960.36120000001</v>
      </c>
      <c r="H18">
        <v>0.71740000000000004</v>
      </c>
      <c r="I18">
        <v>13</v>
      </c>
      <c r="J18">
        <v>129100.727</v>
      </c>
      <c r="K18">
        <v>2.2972000000000001</v>
      </c>
      <c r="L18">
        <v>121</v>
      </c>
      <c r="M18">
        <v>127690.74099999999</v>
      </c>
      <c r="N18">
        <v>4.6116000000000001</v>
      </c>
      <c r="O18">
        <v>85</v>
      </c>
      <c r="P18">
        <v>128167.04399999999</v>
      </c>
      <c r="Q18">
        <v>0.73419999999999996</v>
      </c>
      <c r="R18">
        <v>141</v>
      </c>
    </row>
    <row r="19" spans="1:18" x14ac:dyDescent="0.2">
      <c r="A19" t="s">
        <v>7</v>
      </c>
      <c r="B19">
        <v>47</v>
      </c>
      <c r="C19">
        <v>1</v>
      </c>
      <c r="D19">
        <v>129100.7032</v>
      </c>
      <c r="E19">
        <v>2.9357000000000002</v>
      </c>
      <c r="F19">
        <v>54</v>
      </c>
      <c r="G19">
        <v>132946.9662</v>
      </c>
      <c r="H19">
        <v>1.1959</v>
      </c>
      <c r="I19">
        <v>21</v>
      </c>
      <c r="J19">
        <v>132645.76860000001</v>
      </c>
      <c r="K19">
        <v>2.1131000000000002</v>
      </c>
      <c r="L19">
        <v>108</v>
      </c>
      <c r="M19">
        <v>128965.82859999999</v>
      </c>
      <c r="N19">
        <v>1.0206</v>
      </c>
      <c r="O19">
        <v>17</v>
      </c>
      <c r="P19">
        <v>126828.6216</v>
      </c>
      <c r="Q19">
        <v>0.72130000000000005</v>
      </c>
      <c r="R19">
        <v>161</v>
      </c>
    </row>
    <row r="20" spans="1:18" x14ac:dyDescent="0.2">
      <c r="A20" t="s">
        <v>7</v>
      </c>
      <c r="B20">
        <v>47</v>
      </c>
      <c r="C20">
        <v>1</v>
      </c>
      <c r="D20">
        <v>128830.8217</v>
      </c>
      <c r="E20">
        <v>3.2856999999999998</v>
      </c>
      <c r="F20">
        <v>60</v>
      </c>
      <c r="G20">
        <v>133206.5802</v>
      </c>
      <c r="H20">
        <v>0.61519999999999997</v>
      </c>
      <c r="I20">
        <v>10</v>
      </c>
      <c r="J20">
        <v>128459.5766</v>
      </c>
      <c r="K20">
        <v>1.6187</v>
      </c>
      <c r="L20">
        <v>85</v>
      </c>
      <c r="M20">
        <v>128000.7356</v>
      </c>
      <c r="N20">
        <v>1.0993999999999999</v>
      </c>
      <c r="O20">
        <v>19</v>
      </c>
      <c r="P20">
        <v>128858.03630000001</v>
      </c>
      <c r="Q20">
        <v>0.54339999999999999</v>
      </c>
      <c r="R20">
        <v>101</v>
      </c>
    </row>
    <row r="21" spans="1:18" x14ac:dyDescent="0.2">
      <c r="A21" t="s">
        <v>7</v>
      </c>
      <c r="B21">
        <v>47</v>
      </c>
      <c r="C21">
        <v>1</v>
      </c>
      <c r="D21">
        <v>126845.1231</v>
      </c>
      <c r="E21">
        <v>4.5212000000000003</v>
      </c>
      <c r="F21">
        <v>86</v>
      </c>
      <c r="G21">
        <v>133003.6703</v>
      </c>
      <c r="H21">
        <v>0.72050000000000003</v>
      </c>
      <c r="I21">
        <v>13</v>
      </c>
      <c r="J21">
        <v>131315.26550000001</v>
      </c>
      <c r="K21">
        <v>1.6546000000000001</v>
      </c>
      <c r="L21">
        <v>84</v>
      </c>
      <c r="M21">
        <v>129855.7009</v>
      </c>
      <c r="N21">
        <v>0.7641</v>
      </c>
      <c r="O21">
        <v>12</v>
      </c>
      <c r="P21">
        <v>128820.0966</v>
      </c>
      <c r="Q21">
        <v>0.7419</v>
      </c>
      <c r="R21">
        <v>166</v>
      </c>
    </row>
    <row r="22" spans="1:18" x14ac:dyDescent="0.2">
      <c r="A22" t="s">
        <v>7</v>
      </c>
      <c r="B22">
        <v>47</v>
      </c>
      <c r="C22">
        <v>1</v>
      </c>
      <c r="D22">
        <v>128414.4604</v>
      </c>
      <c r="E22">
        <v>5.0749000000000004</v>
      </c>
      <c r="F22">
        <v>96</v>
      </c>
      <c r="G22">
        <v>132966.5232</v>
      </c>
      <c r="H22">
        <v>1.5223</v>
      </c>
      <c r="I22">
        <v>27</v>
      </c>
      <c r="J22">
        <v>129759.74129999999</v>
      </c>
      <c r="K22">
        <v>1.6484000000000001</v>
      </c>
      <c r="L22">
        <v>84</v>
      </c>
      <c r="M22">
        <v>128843.32709999999</v>
      </c>
      <c r="N22">
        <v>0.90449999999999997</v>
      </c>
      <c r="O22">
        <v>14</v>
      </c>
      <c r="P22">
        <v>128030.2675</v>
      </c>
      <c r="Q22">
        <v>1.8207</v>
      </c>
      <c r="R22">
        <v>388</v>
      </c>
    </row>
    <row r="23" spans="1:18" x14ac:dyDescent="0.2">
      <c r="A23" t="s">
        <v>7</v>
      </c>
      <c r="B23">
        <v>100</v>
      </c>
      <c r="C23">
        <v>1</v>
      </c>
      <c r="D23">
        <v>1247451.4265000001</v>
      </c>
      <c r="E23">
        <v>16.489000000000001</v>
      </c>
      <c r="F23">
        <v>127</v>
      </c>
      <c r="G23">
        <v>1333244.9224</v>
      </c>
      <c r="H23">
        <v>3.4083000000000001</v>
      </c>
      <c r="I23">
        <v>11</v>
      </c>
      <c r="J23">
        <v>1246621.274</v>
      </c>
      <c r="K23">
        <v>13.902900000000001</v>
      </c>
      <c r="L23">
        <v>329</v>
      </c>
      <c r="M23">
        <v>1218610.9868000001</v>
      </c>
      <c r="N23">
        <v>7.5675999999999997</v>
      </c>
      <c r="O23">
        <v>31</v>
      </c>
      <c r="P23">
        <v>1258890.1943000001</v>
      </c>
      <c r="Q23">
        <v>1.6841999999999999</v>
      </c>
      <c r="R23">
        <v>145</v>
      </c>
    </row>
    <row r="24" spans="1:18" x14ac:dyDescent="0.2">
      <c r="A24" t="s">
        <v>7</v>
      </c>
      <c r="B24">
        <v>100</v>
      </c>
      <c r="C24">
        <v>1</v>
      </c>
      <c r="D24">
        <v>1249185.9643000001</v>
      </c>
      <c r="E24">
        <v>27.570399999999999</v>
      </c>
      <c r="F24">
        <v>231</v>
      </c>
      <c r="G24">
        <v>1334978.8215999999</v>
      </c>
      <c r="H24">
        <v>1.3939999999999999</v>
      </c>
      <c r="I24">
        <v>4</v>
      </c>
      <c r="J24">
        <v>1226004.7079</v>
      </c>
      <c r="K24">
        <v>11.8392</v>
      </c>
      <c r="L24">
        <v>277</v>
      </c>
      <c r="M24">
        <v>1223300.9996</v>
      </c>
      <c r="N24">
        <v>8.9933999999999994</v>
      </c>
      <c r="O24">
        <v>36</v>
      </c>
      <c r="P24">
        <v>1287903.142</v>
      </c>
      <c r="Q24">
        <v>1.3213999999999999</v>
      </c>
      <c r="R24">
        <v>111</v>
      </c>
    </row>
    <row r="25" spans="1:18" x14ac:dyDescent="0.2">
      <c r="A25" t="s">
        <v>7</v>
      </c>
      <c r="B25">
        <v>100</v>
      </c>
      <c r="C25">
        <v>1</v>
      </c>
      <c r="D25">
        <v>1219852.6887999999</v>
      </c>
      <c r="E25">
        <v>53.298000000000002</v>
      </c>
      <c r="F25">
        <v>422</v>
      </c>
      <c r="G25">
        <v>1334674.1166999999</v>
      </c>
      <c r="H25">
        <v>1.744</v>
      </c>
      <c r="I25">
        <v>5</v>
      </c>
      <c r="J25">
        <v>1253728.7075</v>
      </c>
      <c r="K25">
        <v>11.400600000000001</v>
      </c>
      <c r="L25">
        <v>265</v>
      </c>
      <c r="M25">
        <v>1226298.3297999999</v>
      </c>
      <c r="N25">
        <v>5.7675000000000001</v>
      </c>
      <c r="O25">
        <v>23</v>
      </c>
      <c r="P25">
        <v>1245553.6407000001</v>
      </c>
      <c r="Q25">
        <v>3.9184999999999999</v>
      </c>
      <c r="R25">
        <v>331</v>
      </c>
    </row>
    <row r="26" spans="1:18" x14ac:dyDescent="0.2">
      <c r="A26" t="s">
        <v>7</v>
      </c>
      <c r="B26">
        <v>100</v>
      </c>
      <c r="C26">
        <v>1</v>
      </c>
      <c r="D26">
        <v>1246661.6122999999</v>
      </c>
      <c r="E26">
        <v>15.503399999999999</v>
      </c>
      <c r="F26">
        <v>119</v>
      </c>
      <c r="G26">
        <v>1325829.3289000001</v>
      </c>
      <c r="H26">
        <v>3.7088999999999999</v>
      </c>
      <c r="I26">
        <v>12</v>
      </c>
      <c r="J26">
        <v>1219219.0970999999</v>
      </c>
      <c r="K26">
        <v>26.707100000000001</v>
      </c>
      <c r="L26">
        <v>637</v>
      </c>
      <c r="M26">
        <v>1218673.0109999999</v>
      </c>
      <c r="N26">
        <v>6.0549999999999997</v>
      </c>
      <c r="O26">
        <v>25</v>
      </c>
      <c r="P26">
        <v>1251075.9933</v>
      </c>
      <c r="Q26">
        <v>2.1387</v>
      </c>
      <c r="R26">
        <v>175</v>
      </c>
    </row>
    <row r="27" spans="1:18" x14ac:dyDescent="0.2">
      <c r="A27" t="s">
        <v>7</v>
      </c>
      <c r="B27">
        <v>100</v>
      </c>
      <c r="C27">
        <v>1</v>
      </c>
      <c r="D27">
        <v>1246052.8404999999</v>
      </c>
      <c r="E27">
        <v>15.7165</v>
      </c>
      <c r="F27">
        <v>119</v>
      </c>
      <c r="G27">
        <v>1337404.679</v>
      </c>
      <c r="H27">
        <v>2.0093000000000001</v>
      </c>
      <c r="I27">
        <v>6</v>
      </c>
      <c r="J27">
        <v>1244379.2911</v>
      </c>
      <c r="K27">
        <v>16.932500000000001</v>
      </c>
      <c r="L27">
        <v>403</v>
      </c>
      <c r="M27">
        <v>1217206.8418000001</v>
      </c>
      <c r="N27">
        <v>10.791700000000001</v>
      </c>
      <c r="O27">
        <v>44</v>
      </c>
      <c r="P27">
        <v>1288480.1218999999</v>
      </c>
      <c r="Q27">
        <v>1.2481</v>
      </c>
      <c r="R27">
        <v>105</v>
      </c>
    </row>
    <row r="28" spans="1:18" x14ac:dyDescent="0.2">
      <c r="A28" t="s">
        <v>7</v>
      </c>
      <c r="B28">
        <v>100</v>
      </c>
      <c r="C28">
        <v>1</v>
      </c>
      <c r="D28">
        <v>1221926.2542999999</v>
      </c>
      <c r="E28">
        <v>32.695099999999996</v>
      </c>
      <c r="F28">
        <v>267</v>
      </c>
      <c r="G28">
        <v>1333966.7167</v>
      </c>
      <c r="H28">
        <v>2.3001999999999998</v>
      </c>
      <c r="I28">
        <v>7</v>
      </c>
      <c r="J28">
        <v>1244447.1856</v>
      </c>
      <c r="K28">
        <v>16.407399999999999</v>
      </c>
      <c r="L28">
        <v>386</v>
      </c>
      <c r="M28">
        <v>1218010.5596</v>
      </c>
      <c r="N28">
        <v>10.519600000000001</v>
      </c>
      <c r="O28">
        <v>43</v>
      </c>
      <c r="P28">
        <v>1217756.4852</v>
      </c>
      <c r="Q28">
        <v>6.5185000000000004</v>
      </c>
      <c r="R28">
        <v>548</v>
      </c>
    </row>
    <row r="29" spans="1:18" x14ac:dyDescent="0.2">
      <c r="A29" t="s">
        <v>7</v>
      </c>
      <c r="B29">
        <v>100</v>
      </c>
      <c r="C29">
        <v>1</v>
      </c>
      <c r="D29">
        <v>1262209.1140000001</v>
      </c>
      <c r="E29">
        <v>7.5472000000000001</v>
      </c>
      <c r="F29">
        <v>59</v>
      </c>
      <c r="G29">
        <v>1337208.3925999999</v>
      </c>
      <c r="H29">
        <v>2.827</v>
      </c>
      <c r="I29">
        <v>9</v>
      </c>
      <c r="J29">
        <v>1225079.0845000001</v>
      </c>
      <c r="K29">
        <v>19.392600000000002</v>
      </c>
      <c r="L29">
        <v>458</v>
      </c>
      <c r="M29">
        <v>1217819.8396000001</v>
      </c>
      <c r="N29">
        <v>11.619400000000001</v>
      </c>
      <c r="O29">
        <v>48</v>
      </c>
      <c r="P29">
        <v>1231206.5867999999</v>
      </c>
      <c r="Q29">
        <v>5.9463999999999997</v>
      </c>
      <c r="R29">
        <v>500</v>
      </c>
    </row>
    <row r="30" spans="1:18" x14ac:dyDescent="0.2">
      <c r="A30" t="s">
        <v>7</v>
      </c>
      <c r="B30">
        <v>100</v>
      </c>
      <c r="C30">
        <v>1</v>
      </c>
      <c r="D30">
        <v>1260048.8947000001</v>
      </c>
      <c r="E30">
        <v>8.7026000000000003</v>
      </c>
      <c r="F30">
        <v>67</v>
      </c>
      <c r="G30">
        <v>1335643.4567</v>
      </c>
      <c r="H30">
        <v>1.7174</v>
      </c>
      <c r="I30">
        <v>5</v>
      </c>
      <c r="J30">
        <v>1244597.1554</v>
      </c>
      <c r="K30">
        <v>5.7596999999999996</v>
      </c>
      <c r="L30">
        <v>131</v>
      </c>
      <c r="M30">
        <v>1250783.4743999999</v>
      </c>
      <c r="N30">
        <v>3.4548999999999999</v>
      </c>
      <c r="O30" s="13">
        <v>13</v>
      </c>
      <c r="P30">
        <v>1279604.8855999999</v>
      </c>
      <c r="Q30">
        <v>1.6987000000000001</v>
      </c>
      <c r="R30">
        <v>140</v>
      </c>
    </row>
    <row r="31" spans="1:18" x14ac:dyDescent="0.2">
      <c r="A31" t="s">
        <v>7</v>
      </c>
      <c r="B31">
        <v>100</v>
      </c>
      <c r="C31">
        <v>1</v>
      </c>
      <c r="D31">
        <v>1256000.4439000001</v>
      </c>
      <c r="E31">
        <v>17.888500000000001</v>
      </c>
      <c r="F31">
        <v>139</v>
      </c>
      <c r="G31">
        <v>1338172.9789</v>
      </c>
      <c r="H31">
        <v>1.4352</v>
      </c>
      <c r="I31">
        <v>4</v>
      </c>
      <c r="J31">
        <v>1265946.6000999999</v>
      </c>
      <c r="K31">
        <v>19.6785</v>
      </c>
      <c r="L31">
        <v>480</v>
      </c>
      <c r="M31">
        <v>1217921.7960999999</v>
      </c>
      <c r="N31">
        <v>7.9134000000000002</v>
      </c>
      <c r="O31">
        <v>32</v>
      </c>
      <c r="P31">
        <v>1246972.1414000001</v>
      </c>
      <c r="Q31">
        <v>2.4371</v>
      </c>
      <c r="R31">
        <v>199</v>
      </c>
    </row>
    <row r="32" spans="1:18" x14ac:dyDescent="0.2">
      <c r="A32" t="s">
        <v>7</v>
      </c>
      <c r="B32">
        <v>100</v>
      </c>
      <c r="C32">
        <v>1</v>
      </c>
      <c r="D32">
        <v>1228730.8883</v>
      </c>
      <c r="E32">
        <v>25.161000000000001</v>
      </c>
      <c r="F32">
        <v>196</v>
      </c>
      <c r="G32">
        <v>1336173.5257999999</v>
      </c>
      <c r="H32">
        <v>2.5608</v>
      </c>
      <c r="I32">
        <v>8</v>
      </c>
      <c r="J32">
        <v>1224139.7071</v>
      </c>
      <c r="K32">
        <v>24.822800000000001</v>
      </c>
      <c r="L32">
        <v>591</v>
      </c>
      <c r="M32">
        <v>1227292.2714</v>
      </c>
      <c r="N32">
        <v>8.4598999999999993</v>
      </c>
      <c r="O32">
        <v>34</v>
      </c>
      <c r="P32">
        <v>1279690.4140000001</v>
      </c>
      <c r="Q32">
        <v>1.1186</v>
      </c>
      <c r="R32">
        <v>91</v>
      </c>
    </row>
    <row r="33" spans="1:43" x14ac:dyDescent="0.2">
      <c r="A33" t="s">
        <v>17</v>
      </c>
      <c r="B33">
        <v>30</v>
      </c>
      <c r="C33">
        <v>1</v>
      </c>
      <c r="D33">
        <v>20266.623599999999</v>
      </c>
      <c r="E33">
        <v>1.1452</v>
      </c>
      <c r="F33">
        <v>30</v>
      </c>
      <c r="G33">
        <v>20521.649099999999</v>
      </c>
      <c r="H33">
        <v>0.96579999999999999</v>
      </c>
      <c r="I33">
        <v>43</v>
      </c>
      <c r="J33">
        <v>20161.991000000002</v>
      </c>
      <c r="K33">
        <v>1.4955000000000001</v>
      </c>
      <c r="L33">
        <v>116</v>
      </c>
      <c r="M33">
        <v>20145.558499999999</v>
      </c>
      <c r="N33">
        <v>1.877</v>
      </c>
      <c r="O33">
        <v>80</v>
      </c>
      <c r="P33">
        <v>21140.916000000001</v>
      </c>
      <c r="Q33">
        <v>0.52790000000000004</v>
      </c>
      <c r="R33">
        <v>214</v>
      </c>
    </row>
    <row r="34" spans="1:43" x14ac:dyDescent="0.2">
      <c r="A34" t="s">
        <v>17</v>
      </c>
      <c r="B34">
        <v>30</v>
      </c>
      <c r="C34">
        <v>1</v>
      </c>
      <c r="D34">
        <v>20346.558700000001</v>
      </c>
      <c r="E34">
        <v>1.3079000000000001</v>
      </c>
      <c r="F34">
        <v>36</v>
      </c>
      <c r="G34">
        <v>20566.244299999998</v>
      </c>
      <c r="H34">
        <v>1.1592</v>
      </c>
      <c r="I34">
        <v>50</v>
      </c>
      <c r="J34">
        <v>20138.360199999999</v>
      </c>
      <c r="K34">
        <v>1.3852</v>
      </c>
      <c r="L34">
        <v>98</v>
      </c>
      <c r="M34">
        <v>20357.9287</v>
      </c>
      <c r="N34">
        <v>1.5301</v>
      </c>
      <c r="O34">
        <v>58</v>
      </c>
      <c r="P34">
        <v>20749.997100000001</v>
      </c>
      <c r="Q34">
        <v>0.26040000000000002</v>
      </c>
      <c r="R34">
        <v>100</v>
      </c>
    </row>
    <row r="35" spans="1:43" x14ac:dyDescent="0.2">
      <c r="A35" t="s">
        <v>17</v>
      </c>
      <c r="B35">
        <v>30</v>
      </c>
      <c r="C35">
        <v>1</v>
      </c>
      <c r="D35">
        <v>20191.725600000002</v>
      </c>
      <c r="E35">
        <v>1.1896</v>
      </c>
      <c r="F35">
        <v>33</v>
      </c>
      <c r="G35">
        <v>20567.817299999999</v>
      </c>
      <c r="H35">
        <v>0.99870000000000003</v>
      </c>
      <c r="I35">
        <v>42</v>
      </c>
      <c r="J35">
        <v>20361.225600000002</v>
      </c>
      <c r="K35">
        <v>1.0303</v>
      </c>
      <c r="L35">
        <v>80</v>
      </c>
      <c r="M35">
        <v>20127.242300000002</v>
      </c>
      <c r="N35">
        <v>1.3552999999999999</v>
      </c>
      <c r="O35">
        <v>59</v>
      </c>
      <c r="P35">
        <v>20680.200799999999</v>
      </c>
      <c r="Q35">
        <v>0.31040000000000001</v>
      </c>
      <c r="R35">
        <v>97</v>
      </c>
    </row>
    <row r="36" spans="1:43" x14ac:dyDescent="0.2">
      <c r="A36" t="s">
        <v>17</v>
      </c>
      <c r="B36">
        <v>30</v>
      </c>
      <c r="C36">
        <v>1</v>
      </c>
      <c r="D36">
        <v>20345.967700000001</v>
      </c>
      <c r="E36">
        <v>1.5132000000000001</v>
      </c>
      <c r="F36" s="13">
        <v>34</v>
      </c>
      <c r="G36">
        <v>20532.563699999999</v>
      </c>
      <c r="H36">
        <v>1.2818000000000001</v>
      </c>
      <c r="I36">
        <v>58</v>
      </c>
      <c r="J36">
        <v>20197.161899999999</v>
      </c>
      <c r="K36">
        <v>1.1133</v>
      </c>
      <c r="L36">
        <v>81</v>
      </c>
      <c r="M36">
        <v>20184.0069</v>
      </c>
      <c r="N36">
        <v>1.6384000000000001</v>
      </c>
      <c r="O36">
        <v>66</v>
      </c>
      <c r="P36">
        <v>20285.8786</v>
      </c>
      <c r="Q36">
        <v>0.48380000000000001</v>
      </c>
      <c r="R36">
        <v>196</v>
      </c>
    </row>
    <row r="37" spans="1:43" x14ac:dyDescent="0.2">
      <c r="A37" t="s">
        <v>17</v>
      </c>
      <c r="B37">
        <v>30</v>
      </c>
      <c r="C37">
        <v>1</v>
      </c>
      <c r="D37">
        <v>20235.430199999999</v>
      </c>
      <c r="E37">
        <v>1.4221999999999999</v>
      </c>
      <c r="F37">
        <v>39</v>
      </c>
      <c r="G37">
        <v>20607.086599999999</v>
      </c>
      <c r="H37">
        <v>0.65739999999999998</v>
      </c>
      <c r="I37">
        <v>25</v>
      </c>
      <c r="J37">
        <v>20209.176299999999</v>
      </c>
      <c r="K37">
        <v>1.7975000000000001</v>
      </c>
      <c r="L37">
        <v>135</v>
      </c>
      <c r="M37">
        <v>20633.008999999998</v>
      </c>
      <c r="N37">
        <v>0.51910000000000001</v>
      </c>
      <c r="O37">
        <v>19</v>
      </c>
      <c r="P37">
        <v>20586.216799999998</v>
      </c>
      <c r="Q37">
        <v>0.64410000000000001</v>
      </c>
      <c r="R37">
        <v>264</v>
      </c>
    </row>
    <row r="38" spans="1:43" x14ac:dyDescent="0.2">
      <c r="A38" t="s">
        <v>17</v>
      </c>
      <c r="B38">
        <v>30</v>
      </c>
      <c r="C38">
        <v>1</v>
      </c>
      <c r="D38">
        <v>20121.4087</v>
      </c>
      <c r="E38">
        <v>1.5584</v>
      </c>
      <c r="F38">
        <v>43</v>
      </c>
      <c r="G38">
        <v>20638.849600000001</v>
      </c>
      <c r="H38">
        <v>0.5524</v>
      </c>
      <c r="I38">
        <v>24</v>
      </c>
      <c r="J38">
        <v>20629.518800000002</v>
      </c>
      <c r="K38">
        <v>0.69210000000000005</v>
      </c>
      <c r="L38">
        <v>52</v>
      </c>
      <c r="M38">
        <v>20213.504199999999</v>
      </c>
      <c r="N38">
        <v>2.0560999999999998</v>
      </c>
      <c r="O38">
        <v>81</v>
      </c>
      <c r="P38">
        <v>20477.9712</v>
      </c>
      <c r="Q38">
        <v>0.64710000000000001</v>
      </c>
      <c r="R38">
        <v>241</v>
      </c>
    </row>
    <row r="39" spans="1:43" x14ac:dyDescent="0.2">
      <c r="A39" t="s">
        <v>17</v>
      </c>
      <c r="B39">
        <v>30</v>
      </c>
      <c r="C39">
        <v>1</v>
      </c>
      <c r="D39">
        <v>20108.544300000001</v>
      </c>
      <c r="E39">
        <v>1.3211999999999999</v>
      </c>
      <c r="F39">
        <v>34</v>
      </c>
      <c r="G39">
        <v>20562.417600000001</v>
      </c>
      <c r="H39">
        <v>0.6149</v>
      </c>
      <c r="I39">
        <v>25</v>
      </c>
      <c r="J39">
        <v>20549.115300000001</v>
      </c>
      <c r="K39">
        <v>1.1175999999999999</v>
      </c>
      <c r="L39">
        <v>85</v>
      </c>
      <c r="M39">
        <v>20490.797200000001</v>
      </c>
      <c r="N39">
        <v>0.78500000000000003</v>
      </c>
      <c r="O39">
        <v>29</v>
      </c>
      <c r="P39">
        <v>20705.055499999999</v>
      </c>
      <c r="Q39">
        <v>0.2787</v>
      </c>
      <c r="R39">
        <v>109</v>
      </c>
    </row>
    <row r="40" spans="1:43" x14ac:dyDescent="0.2">
      <c r="A40" t="s">
        <v>17</v>
      </c>
      <c r="B40">
        <v>30</v>
      </c>
      <c r="C40">
        <v>1</v>
      </c>
      <c r="D40">
        <v>20145.0193</v>
      </c>
      <c r="E40">
        <v>1.4207000000000001</v>
      </c>
      <c r="F40">
        <v>38</v>
      </c>
      <c r="G40">
        <v>20680.056100000002</v>
      </c>
      <c r="H40">
        <v>0.4869</v>
      </c>
      <c r="I40">
        <v>21</v>
      </c>
      <c r="J40">
        <v>20422.0713</v>
      </c>
      <c r="K40">
        <v>0.74460000000000004</v>
      </c>
      <c r="L40">
        <v>56</v>
      </c>
      <c r="M40">
        <v>20537.3871</v>
      </c>
      <c r="N40">
        <v>0.56299999999999994</v>
      </c>
      <c r="O40">
        <v>19</v>
      </c>
      <c r="P40">
        <v>21133.163700000001</v>
      </c>
      <c r="Q40">
        <v>0.2326</v>
      </c>
      <c r="R40">
        <v>70</v>
      </c>
    </row>
    <row r="41" spans="1:43" x14ac:dyDescent="0.2">
      <c r="A41" t="s">
        <v>17</v>
      </c>
      <c r="B41">
        <v>30</v>
      </c>
      <c r="C41">
        <v>1</v>
      </c>
      <c r="D41">
        <v>20320.8678</v>
      </c>
      <c r="E41">
        <v>1.3369</v>
      </c>
      <c r="F41">
        <v>36</v>
      </c>
      <c r="G41">
        <v>20629.922600000002</v>
      </c>
      <c r="H41">
        <v>0.8216</v>
      </c>
      <c r="I41">
        <v>33</v>
      </c>
      <c r="J41">
        <v>20422.038799999998</v>
      </c>
      <c r="K41">
        <v>0.97309999999999997</v>
      </c>
      <c r="L41">
        <v>73</v>
      </c>
      <c r="M41">
        <v>20447.821899999999</v>
      </c>
      <c r="N41">
        <v>0.77749999999999997</v>
      </c>
      <c r="O41">
        <v>30</v>
      </c>
      <c r="P41">
        <v>20216.5605</v>
      </c>
      <c r="Q41">
        <v>0.62780000000000002</v>
      </c>
      <c r="R41">
        <v>226</v>
      </c>
    </row>
    <row r="42" spans="1:43" x14ac:dyDescent="0.2">
      <c r="A42" t="s">
        <v>17</v>
      </c>
      <c r="B42">
        <v>30</v>
      </c>
      <c r="C42">
        <v>1</v>
      </c>
      <c r="D42">
        <v>20065.439399999999</v>
      </c>
      <c r="E42">
        <v>1.2413000000000001</v>
      </c>
      <c r="F42">
        <v>34</v>
      </c>
      <c r="G42">
        <v>20730.485799999999</v>
      </c>
      <c r="H42">
        <v>0.42109999999999997</v>
      </c>
      <c r="I42">
        <v>18</v>
      </c>
      <c r="J42">
        <v>20697.308799999999</v>
      </c>
      <c r="K42">
        <v>0.6542</v>
      </c>
      <c r="L42">
        <v>44</v>
      </c>
      <c r="M42">
        <v>20222.7601</v>
      </c>
      <c r="N42">
        <v>2.3538999999999999</v>
      </c>
      <c r="O42">
        <v>102</v>
      </c>
      <c r="P42">
        <v>20381.243999999999</v>
      </c>
      <c r="Q42">
        <v>0.50829999999999997</v>
      </c>
      <c r="R42">
        <v>209</v>
      </c>
    </row>
    <row r="43" spans="1:43" x14ac:dyDescent="0.2">
      <c r="A43" t="s">
        <v>17</v>
      </c>
      <c r="B43">
        <v>50</v>
      </c>
      <c r="C43">
        <v>1</v>
      </c>
      <c r="D43">
        <v>36167.228199999998</v>
      </c>
      <c r="E43">
        <v>2.7421000000000002</v>
      </c>
      <c r="F43">
        <v>52</v>
      </c>
      <c r="G43">
        <v>37402.005100000002</v>
      </c>
      <c r="H43">
        <v>1.5752999999999999</v>
      </c>
      <c r="I43">
        <v>25</v>
      </c>
      <c r="J43">
        <v>35900.632599999997</v>
      </c>
      <c r="K43">
        <v>3.1511</v>
      </c>
      <c r="L43">
        <v>175</v>
      </c>
      <c r="M43">
        <v>35616.164499999999</v>
      </c>
      <c r="N43">
        <v>3.6141999999999999</v>
      </c>
      <c r="O43">
        <v>60</v>
      </c>
      <c r="P43">
        <v>36048.3465</v>
      </c>
      <c r="Q43">
        <v>0.77210000000000001</v>
      </c>
      <c r="R43">
        <v>163</v>
      </c>
    </row>
    <row r="44" spans="1:43" x14ac:dyDescent="0.2">
      <c r="A44" t="s">
        <v>17</v>
      </c>
      <c r="B44">
        <v>50</v>
      </c>
      <c r="C44">
        <v>1</v>
      </c>
      <c r="D44">
        <v>35925.373200000002</v>
      </c>
      <c r="E44">
        <v>2.7077</v>
      </c>
      <c r="F44">
        <v>50</v>
      </c>
      <c r="G44">
        <v>37364.957900000001</v>
      </c>
      <c r="H44">
        <v>1.3113999999999999</v>
      </c>
      <c r="I44">
        <v>20</v>
      </c>
      <c r="J44">
        <v>36538.913800000002</v>
      </c>
      <c r="K44">
        <v>2.3372999999999999</v>
      </c>
      <c r="L44">
        <v>130</v>
      </c>
      <c r="M44">
        <v>36917.412100000001</v>
      </c>
      <c r="N44">
        <v>1.3482000000000001</v>
      </c>
      <c r="O44">
        <v>20</v>
      </c>
      <c r="P44">
        <v>37048.257400000002</v>
      </c>
      <c r="Q44">
        <v>0.50849999999999995</v>
      </c>
      <c r="R44">
        <v>114</v>
      </c>
    </row>
    <row r="45" spans="1:43" x14ac:dyDescent="0.2">
      <c r="A45" t="s">
        <v>17</v>
      </c>
      <c r="B45">
        <v>50</v>
      </c>
      <c r="C45">
        <v>1</v>
      </c>
      <c r="D45">
        <v>36043.748800000001</v>
      </c>
      <c r="E45">
        <v>4.8857999999999997</v>
      </c>
      <c r="F45">
        <v>92</v>
      </c>
      <c r="G45">
        <v>37415.169800000003</v>
      </c>
      <c r="H45">
        <v>1.4837</v>
      </c>
      <c r="I45">
        <v>24</v>
      </c>
      <c r="J45">
        <v>36196.423199999997</v>
      </c>
      <c r="K45">
        <v>1.8170999999999999</v>
      </c>
      <c r="L45">
        <v>95</v>
      </c>
      <c r="M45">
        <v>36557.218099999998</v>
      </c>
      <c r="N45">
        <v>2.2441</v>
      </c>
      <c r="O45" s="13">
        <v>35</v>
      </c>
      <c r="P45">
        <v>37181.8436</v>
      </c>
      <c r="Q45">
        <v>0.56669999999999998</v>
      </c>
      <c r="R45">
        <v>130</v>
      </c>
    </row>
    <row r="46" spans="1:43" x14ac:dyDescent="0.2">
      <c r="A46" t="s">
        <v>17</v>
      </c>
      <c r="B46">
        <v>50</v>
      </c>
      <c r="C46">
        <v>1</v>
      </c>
      <c r="D46">
        <v>35954.542500000003</v>
      </c>
      <c r="E46">
        <v>3.3717999999999999</v>
      </c>
      <c r="F46">
        <v>63</v>
      </c>
      <c r="G46">
        <v>37627.577499999999</v>
      </c>
      <c r="H46">
        <v>0.78100000000000003</v>
      </c>
      <c r="I46">
        <v>11</v>
      </c>
      <c r="J46">
        <v>36157.552799999998</v>
      </c>
      <c r="K46">
        <v>2.4047000000000001</v>
      </c>
      <c r="L46">
        <v>132</v>
      </c>
      <c r="M46">
        <v>36271.280700000003</v>
      </c>
      <c r="N46">
        <v>1.4408000000000001</v>
      </c>
      <c r="O46">
        <v>22</v>
      </c>
      <c r="P46">
        <v>36185.289299999997</v>
      </c>
      <c r="Q46">
        <v>0.59199999999999997</v>
      </c>
      <c r="R46">
        <v>135</v>
      </c>
    </row>
    <row r="47" spans="1:43" x14ac:dyDescent="0.2">
      <c r="A47" t="s">
        <v>17</v>
      </c>
      <c r="B47">
        <v>50</v>
      </c>
      <c r="C47">
        <v>1</v>
      </c>
      <c r="D47">
        <v>36168.189200000001</v>
      </c>
      <c r="E47">
        <v>1.8106</v>
      </c>
      <c r="F47">
        <v>31</v>
      </c>
      <c r="G47">
        <v>37565.260399999999</v>
      </c>
      <c r="H47">
        <v>0.34689999999999999</v>
      </c>
      <c r="I47">
        <v>5</v>
      </c>
      <c r="J47">
        <v>36440.471700000002</v>
      </c>
      <c r="K47">
        <v>2.0882999999999998</v>
      </c>
      <c r="L47">
        <v>111</v>
      </c>
      <c r="M47">
        <v>35370.184000000001</v>
      </c>
      <c r="N47">
        <v>4.4054000000000002</v>
      </c>
      <c r="O47">
        <v>79</v>
      </c>
      <c r="P47">
        <v>37134.122499999998</v>
      </c>
      <c r="Q47">
        <v>0.58609999999999995</v>
      </c>
      <c r="R47">
        <v>137</v>
      </c>
    </row>
    <row r="48" spans="1:43" s="13" customFormat="1" x14ac:dyDescent="0.2">
      <c r="A48" s="13" t="s">
        <v>17</v>
      </c>
      <c r="B48" s="13">
        <v>50</v>
      </c>
      <c r="C48" s="13">
        <v>1</v>
      </c>
      <c r="D48" s="13">
        <v>35877.432000000001</v>
      </c>
      <c r="E48" s="13">
        <v>2.0005000000000002</v>
      </c>
      <c r="F48" s="13">
        <v>34</v>
      </c>
      <c r="G48" s="13">
        <v>37508.919300000001</v>
      </c>
      <c r="H48" s="13">
        <v>0.51980000000000004</v>
      </c>
      <c r="I48" s="13">
        <v>8</v>
      </c>
      <c r="J48" s="13">
        <v>37118.739500000003</v>
      </c>
      <c r="K48" s="13">
        <v>1.5525</v>
      </c>
      <c r="L48" s="13">
        <v>81</v>
      </c>
      <c r="M48" s="13">
        <v>37258.882799999999</v>
      </c>
      <c r="N48" s="13">
        <v>1.0934999999999999</v>
      </c>
      <c r="O48" s="13">
        <v>16</v>
      </c>
      <c r="P48" s="13">
        <v>36540.386700000003</v>
      </c>
      <c r="Q48" s="13">
        <v>1.5210999999999999</v>
      </c>
      <c r="R48" s="13">
        <v>358</v>
      </c>
      <c r="AQ48" s="1"/>
    </row>
    <row r="49" spans="1:43" s="13" customFormat="1" x14ac:dyDescent="0.2">
      <c r="A49" s="13" t="s">
        <v>17</v>
      </c>
      <c r="B49" s="13">
        <v>50</v>
      </c>
      <c r="C49" s="13">
        <v>1</v>
      </c>
      <c r="D49" s="13">
        <v>35982.751300000004</v>
      </c>
      <c r="E49" s="13">
        <v>3.0611999999999999</v>
      </c>
      <c r="F49" s="13">
        <v>56</v>
      </c>
      <c r="G49" s="13">
        <v>37917.611499999999</v>
      </c>
      <c r="H49" s="13">
        <v>0.34789999999999999</v>
      </c>
      <c r="I49" s="13">
        <v>5</v>
      </c>
      <c r="J49" s="13">
        <v>36745.960700000003</v>
      </c>
      <c r="K49" s="13">
        <v>1.2943</v>
      </c>
      <c r="L49" s="13">
        <v>66</v>
      </c>
      <c r="M49" s="13">
        <v>35360.345699999998</v>
      </c>
      <c r="N49" s="13">
        <v>4.0210999999999997</v>
      </c>
      <c r="O49" s="13">
        <v>70</v>
      </c>
      <c r="P49" s="13">
        <v>37001.338000000003</v>
      </c>
      <c r="Q49" s="13">
        <v>0.64659999999999995</v>
      </c>
      <c r="R49" s="13">
        <v>149</v>
      </c>
      <c r="AQ49" s="1"/>
    </row>
    <row r="50" spans="1:43" s="13" customFormat="1" x14ac:dyDescent="0.2">
      <c r="A50" s="13" t="s">
        <v>17</v>
      </c>
      <c r="B50" s="13">
        <v>50</v>
      </c>
      <c r="C50" s="13">
        <v>1</v>
      </c>
      <c r="D50" s="13">
        <v>36291.735000000001</v>
      </c>
      <c r="E50" s="13">
        <v>4.0244999999999997</v>
      </c>
      <c r="F50" s="13">
        <v>71</v>
      </c>
      <c r="G50" s="13">
        <v>37307.010399999999</v>
      </c>
      <c r="H50" s="13">
        <v>1.6494</v>
      </c>
      <c r="I50" s="13">
        <v>26</v>
      </c>
      <c r="J50" s="13">
        <v>36301.953699999998</v>
      </c>
      <c r="K50" s="13">
        <v>1.5752999999999999</v>
      </c>
      <c r="L50" s="13">
        <v>89</v>
      </c>
      <c r="M50" s="13">
        <v>35635.887999999999</v>
      </c>
      <c r="N50" s="13">
        <v>3.7824</v>
      </c>
      <c r="O50" s="13">
        <v>62</v>
      </c>
      <c r="P50" s="13">
        <v>36806.828399999999</v>
      </c>
      <c r="Q50" s="13">
        <v>0.4879</v>
      </c>
      <c r="R50" s="13">
        <v>91</v>
      </c>
      <c r="AQ50" s="1"/>
    </row>
    <row r="51" spans="1:43" s="13" customFormat="1" x14ac:dyDescent="0.2">
      <c r="A51" s="13" t="s">
        <v>17</v>
      </c>
      <c r="B51" s="13">
        <v>50</v>
      </c>
      <c r="C51" s="13">
        <v>1</v>
      </c>
      <c r="D51" s="13">
        <v>35806.742100000003</v>
      </c>
      <c r="E51" s="13">
        <v>2.7888999999999999</v>
      </c>
      <c r="F51" s="13">
        <v>49</v>
      </c>
      <c r="G51" s="13">
        <v>37778.619400000003</v>
      </c>
      <c r="H51" s="13">
        <v>0.40939999999999999</v>
      </c>
      <c r="I51" s="13">
        <v>6</v>
      </c>
      <c r="J51" s="13">
        <v>35989.928999999996</v>
      </c>
      <c r="K51" s="13">
        <v>1.8505</v>
      </c>
      <c r="L51" s="13">
        <v>100</v>
      </c>
      <c r="M51" s="13">
        <v>36692.906499999997</v>
      </c>
      <c r="N51" s="13">
        <v>1.0852999999999999</v>
      </c>
      <c r="O51" s="13">
        <v>17</v>
      </c>
      <c r="P51" s="13">
        <v>36575.413399999998</v>
      </c>
      <c r="Q51" s="13">
        <v>0.74109999999999998</v>
      </c>
      <c r="R51" s="13">
        <v>172</v>
      </c>
      <c r="AQ51" s="1"/>
    </row>
    <row r="52" spans="1:43" s="13" customFormat="1" x14ac:dyDescent="0.2">
      <c r="A52" s="13" t="s">
        <v>17</v>
      </c>
      <c r="B52" s="13">
        <v>50</v>
      </c>
      <c r="C52" s="13">
        <v>1</v>
      </c>
      <c r="D52" s="13">
        <v>35793.7382</v>
      </c>
      <c r="E52" s="13">
        <v>2.9255</v>
      </c>
      <c r="F52" s="13">
        <v>53</v>
      </c>
      <c r="G52" s="13">
        <v>37400.916899999997</v>
      </c>
      <c r="H52" s="13">
        <v>1.4988999999999999</v>
      </c>
      <c r="I52" s="13">
        <v>23</v>
      </c>
      <c r="J52" s="13">
        <v>35477.409399999997</v>
      </c>
      <c r="K52" s="13">
        <v>2.4426000000000001</v>
      </c>
      <c r="L52" s="13">
        <v>132</v>
      </c>
      <c r="M52" s="13">
        <v>35442.260399999999</v>
      </c>
      <c r="N52" s="13">
        <v>3.7109000000000001</v>
      </c>
      <c r="O52" s="13">
        <v>67</v>
      </c>
      <c r="P52" s="13">
        <v>36602.353199999998</v>
      </c>
      <c r="Q52" s="13">
        <v>0.75039999999999996</v>
      </c>
      <c r="R52" s="13">
        <v>143</v>
      </c>
      <c r="AQ52" s="1"/>
    </row>
    <row r="53" spans="1:43" x14ac:dyDescent="0.2">
      <c r="A53" s="1" t="s">
        <v>17</v>
      </c>
      <c r="B53" s="1">
        <v>100</v>
      </c>
      <c r="C53" s="1">
        <v>1</v>
      </c>
      <c r="D53" s="1">
        <v>64202.241399999999</v>
      </c>
      <c r="E53" s="1">
        <v>14.865399999999999</v>
      </c>
      <c r="F53" s="1">
        <v>131</v>
      </c>
      <c r="G53" s="1">
        <v>69408.498999999996</v>
      </c>
      <c r="H53" s="1">
        <v>1.5185</v>
      </c>
      <c r="I53" s="1">
        <v>5</v>
      </c>
      <c r="J53" s="1">
        <v>64062.841399999998</v>
      </c>
      <c r="K53" s="1">
        <v>8.7809000000000008</v>
      </c>
      <c r="L53" s="1">
        <v>249</v>
      </c>
      <c r="M53" s="1">
        <v>63758.050499999998</v>
      </c>
      <c r="N53" s="1">
        <v>9.0739000000000001</v>
      </c>
      <c r="O53" s="1">
        <v>41</v>
      </c>
      <c r="P53" s="1">
        <v>65395.525900000001</v>
      </c>
      <c r="Q53" s="1">
        <v>1.9020999999999999</v>
      </c>
      <c r="R53" s="1">
        <v>188</v>
      </c>
    </row>
    <row r="54" spans="1:43" x14ac:dyDescent="0.2">
      <c r="A54" s="1" t="s">
        <v>17</v>
      </c>
      <c r="B54" s="1">
        <v>100</v>
      </c>
      <c r="C54" s="1">
        <v>1</v>
      </c>
      <c r="D54" s="1">
        <v>65714.309800000003</v>
      </c>
      <c r="E54" s="1">
        <v>10.951000000000001</v>
      </c>
      <c r="F54" s="1">
        <v>92</v>
      </c>
      <c r="G54" s="1">
        <v>68199.262700000007</v>
      </c>
      <c r="H54" s="1">
        <v>6.0145999999999997</v>
      </c>
      <c r="I54" s="1">
        <v>23</v>
      </c>
      <c r="J54" s="1">
        <v>65582.065300000002</v>
      </c>
      <c r="K54" s="1">
        <v>3.4114</v>
      </c>
      <c r="L54" s="1">
        <v>92</v>
      </c>
      <c r="M54" s="1">
        <v>63607.7255</v>
      </c>
      <c r="N54" s="1">
        <v>7.2546999999999997</v>
      </c>
      <c r="O54" s="1">
        <v>34</v>
      </c>
      <c r="P54" s="1">
        <v>64925.989800000003</v>
      </c>
      <c r="Q54" s="1">
        <v>3.9691999999999998</v>
      </c>
      <c r="R54" s="1">
        <v>394</v>
      </c>
    </row>
    <row r="55" spans="1:43" x14ac:dyDescent="0.2">
      <c r="A55" s="1" t="s">
        <v>17</v>
      </c>
      <c r="B55" s="1">
        <v>100</v>
      </c>
      <c r="C55" s="1">
        <v>1</v>
      </c>
      <c r="D55" s="1">
        <v>64966.267599999999</v>
      </c>
      <c r="E55" s="1">
        <v>7.4814999999999996</v>
      </c>
      <c r="F55" s="1">
        <v>63</v>
      </c>
      <c r="G55" s="1">
        <v>68953.207999999999</v>
      </c>
      <c r="H55" s="1">
        <v>1.2193000000000001</v>
      </c>
      <c r="I55" s="1">
        <v>4</v>
      </c>
      <c r="J55" s="1">
        <v>64326.259700000002</v>
      </c>
      <c r="K55" s="1">
        <v>7.2126000000000001</v>
      </c>
      <c r="L55" s="1">
        <v>204</v>
      </c>
      <c r="M55" s="1">
        <v>65701.949099999998</v>
      </c>
      <c r="N55" s="1">
        <v>5.4298999999999999</v>
      </c>
      <c r="O55" s="1">
        <v>23</v>
      </c>
      <c r="P55" s="1">
        <v>65259.769200000002</v>
      </c>
      <c r="Q55" s="1">
        <v>1.4420999999999999</v>
      </c>
      <c r="R55" s="1">
        <v>140</v>
      </c>
    </row>
    <row r="56" spans="1:43" x14ac:dyDescent="0.2">
      <c r="A56" s="1" t="s">
        <v>17</v>
      </c>
      <c r="B56" s="1">
        <v>100</v>
      </c>
      <c r="C56" s="1">
        <v>1</v>
      </c>
      <c r="D56" s="1">
        <v>66214.465100000001</v>
      </c>
      <c r="E56" s="1">
        <v>10.3071</v>
      </c>
      <c r="F56" s="1">
        <v>85</v>
      </c>
      <c r="G56" s="1">
        <v>69084.740999999995</v>
      </c>
      <c r="H56" s="1">
        <v>2.2185999999999999</v>
      </c>
      <c r="I56" s="1">
        <v>8</v>
      </c>
      <c r="J56" s="1">
        <v>66410.715299999996</v>
      </c>
      <c r="K56" s="1">
        <v>4.7502000000000004</v>
      </c>
      <c r="L56" s="1">
        <v>130</v>
      </c>
      <c r="M56" s="1">
        <v>63907.154300000002</v>
      </c>
      <c r="N56" s="1">
        <v>8.4690999999999992</v>
      </c>
      <c r="O56" s="1">
        <v>39</v>
      </c>
      <c r="P56" s="1">
        <v>64660.265899999999</v>
      </c>
      <c r="Q56" s="1">
        <v>1.6059000000000001</v>
      </c>
      <c r="R56" s="1">
        <v>149</v>
      </c>
    </row>
    <row r="57" spans="1:43" x14ac:dyDescent="0.2">
      <c r="A57" s="1" t="s">
        <v>17</v>
      </c>
      <c r="B57" s="1">
        <v>100</v>
      </c>
      <c r="C57" s="1">
        <v>1</v>
      </c>
      <c r="D57" s="1">
        <v>64744.7336</v>
      </c>
      <c r="E57" s="1">
        <v>10.823</v>
      </c>
      <c r="F57" s="1">
        <v>92</v>
      </c>
      <c r="G57" s="1">
        <v>68416.036099999998</v>
      </c>
      <c r="H57" s="1">
        <v>2.5552000000000001</v>
      </c>
      <c r="I57" s="1">
        <v>9</v>
      </c>
      <c r="J57" s="1">
        <v>64944.980600000003</v>
      </c>
      <c r="K57" s="1">
        <v>6.0827999999999998</v>
      </c>
      <c r="L57" s="1">
        <v>171</v>
      </c>
      <c r="M57" s="1">
        <v>63575.320899999999</v>
      </c>
      <c r="N57" s="1">
        <v>13.1211</v>
      </c>
      <c r="O57" s="1">
        <v>59</v>
      </c>
      <c r="P57" s="1">
        <v>64553.4467</v>
      </c>
      <c r="Q57" s="1">
        <v>2.5813000000000001</v>
      </c>
      <c r="R57" s="1">
        <v>259</v>
      </c>
    </row>
    <row r="58" spans="1:43" x14ac:dyDescent="0.2">
      <c r="A58" s="1" t="s">
        <v>17</v>
      </c>
      <c r="B58" s="1">
        <v>100</v>
      </c>
      <c r="C58" s="1">
        <v>1</v>
      </c>
      <c r="D58" s="1">
        <v>65066.726300000002</v>
      </c>
      <c r="E58" s="1">
        <v>21.97</v>
      </c>
      <c r="F58" s="1">
        <v>188</v>
      </c>
      <c r="G58" s="1">
        <v>68704.629100000006</v>
      </c>
      <c r="H58" s="1">
        <v>1.7324999999999999</v>
      </c>
      <c r="I58" s="1">
        <v>6</v>
      </c>
      <c r="J58" s="1">
        <v>65674.882100000003</v>
      </c>
      <c r="K58" s="1">
        <v>7.3994999999999997</v>
      </c>
      <c r="L58" s="1">
        <v>204</v>
      </c>
      <c r="M58" s="1">
        <v>63436.120699999999</v>
      </c>
      <c r="N58" s="1">
        <v>10.4763</v>
      </c>
      <c r="O58" s="1">
        <v>48</v>
      </c>
      <c r="P58" s="1">
        <v>65186.817300000002</v>
      </c>
      <c r="Q58" s="1">
        <v>1.2667999999999999</v>
      </c>
      <c r="R58" s="1">
        <v>122</v>
      </c>
    </row>
    <row r="59" spans="1:43" x14ac:dyDescent="0.2">
      <c r="A59" s="1" t="s">
        <v>17</v>
      </c>
      <c r="B59" s="1">
        <v>100</v>
      </c>
      <c r="C59" s="1">
        <v>1</v>
      </c>
      <c r="D59" s="1">
        <v>65373.135799999996</v>
      </c>
      <c r="E59" s="1">
        <v>8.1803000000000008</v>
      </c>
      <c r="F59" s="1">
        <v>70</v>
      </c>
      <c r="G59" s="1">
        <v>68973.702999999994</v>
      </c>
      <c r="H59" s="1">
        <v>3.7079</v>
      </c>
      <c r="I59" s="1">
        <v>14</v>
      </c>
      <c r="J59" s="1">
        <v>65050.043799999999</v>
      </c>
      <c r="K59" s="1">
        <v>13.3194</v>
      </c>
      <c r="L59" s="1">
        <v>377</v>
      </c>
      <c r="M59" s="1">
        <v>63749.530299999999</v>
      </c>
      <c r="N59" s="1">
        <v>8.4497999999999998</v>
      </c>
      <c r="O59" s="1">
        <v>38</v>
      </c>
      <c r="P59" s="1">
        <v>65617.888200000001</v>
      </c>
      <c r="Q59" s="1">
        <v>1.8354999999999999</v>
      </c>
      <c r="R59" s="1">
        <v>174</v>
      </c>
    </row>
    <row r="60" spans="1:43" x14ac:dyDescent="0.2">
      <c r="A60" s="1" t="s">
        <v>17</v>
      </c>
      <c r="B60" s="1">
        <v>100</v>
      </c>
      <c r="C60" s="1">
        <v>1</v>
      </c>
      <c r="D60" s="1">
        <v>64252.647799999999</v>
      </c>
      <c r="E60" s="1">
        <v>15.8552</v>
      </c>
      <c r="F60" s="1">
        <v>138</v>
      </c>
      <c r="G60" s="1">
        <v>69108.9185</v>
      </c>
      <c r="H60" s="1">
        <v>1.242</v>
      </c>
      <c r="I60" s="1">
        <v>4</v>
      </c>
      <c r="J60" s="1">
        <v>65938.887000000002</v>
      </c>
      <c r="K60" s="1">
        <v>7.3912000000000004</v>
      </c>
      <c r="L60" s="1">
        <v>205</v>
      </c>
      <c r="M60" s="1">
        <v>64207.796900000001</v>
      </c>
      <c r="N60" s="1">
        <v>8.7863000000000007</v>
      </c>
      <c r="O60" s="1">
        <v>39</v>
      </c>
      <c r="P60" s="1">
        <v>65077.937100000003</v>
      </c>
      <c r="Q60" s="1">
        <v>2.3355000000000001</v>
      </c>
      <c r="R60" s="1">
        <v>226</v>
      </c>
    </row>
    <row r="61" spans="1:43" x14ac:dyDescent="0.2">
      <c r="A61" s="1" t="s">
        <v>17</v>
      </c>
      <c r="B61" s="1">
        <v>100</v>
      </c>
      <c r="C61" s="1">
        <v>1</v>
      </c>
      <c r="D61" s="1">
        <v>64799.838400000001</v>
      </c>
      <c r="E61" s="1">
        <v>5.5956999999999999</v>
      </c>
      <c r="F61" s="1">
        <v>47</v>
      </c>
      <c r="G61" s="1">
        <v>68871.252399999998</v>
      </c>
      <c r="H61" s="1">
        <v>3.6913999999999998</v>
      </c>
      <c r="I61" s="1">
        <v>14</v>
      </c>
      <c r="J61" s="1">
        <v>64642.468699999998</v>
      </c>
      <c r="K61" s="1">
        <v>9.2072000000000003</v>
      </c>
      <c r="L61" s="1">
        <v>254</v>
      </c>
      <c r="M61" s="1">
        <v>63272.968200000003</v>
      </c>
      <c r="N61" s="1">
        <v>12.134399999999999</v>
      </c>
      <c r="O61" s="1">
        <v>54</v>
      </c>
      <c r="P61" s="1">
        <v>65501.642200000002</v>
      </c>
      <c r="Q61" s="1">
        <v>1.4669000000000001</v>
      </c>
      <c r="R61" s="1">
        <v>139</v>
      </c>
    </row>
    <row r="62" spans="1:43" x14ac:dyDescent="0.2">
      <c r="A62" s="1" t="s">
        <v>17</v>
      </c>
      <c r="B62" s="1">
        <v>100</v>
      </c>
      <c r="C62" s="1">
        <v>1</v>
      </c>
      <c r="D62" s="1">
        <v>64726.965100000001</v>
      </c>
      <c r="E62" s="1">
        <v>10.7235</v>
      </c>
      <c r="F62" s="1">
        <v>94</v>
      </c>
      <c r="G62" s="1">
        <v>68905.974300000002</v>
      </c>
      <c r="H62" s="1">
        <v>1.7749999999999999</v>
      </c>
      <c r="I62" s="1">
        <v>6</v>
      </c>
      <c r="J62" s="1">
        <v>65652.425499999998</v>
      </c>
      <c r="K62" s="1">
        <v>7.1032000000000002</v>
      </c>
      <c r="L62" s="1">
        <v>197</v>
      </c>
      <c r="M62" s="1">
        <v>67533.271999999997</v>
      </c>
      <c r="N62" s="1">
        <v>1.9755</v>
      </c>
      <c r="O62" s="1">
        <v>8</v>
      </c>
      <c r="P62" s="1">
        <v>65939.184399999998</v>
      </c>
      <c r="Q62" s="1">
        <v>3.0939999999999999</v>
      </c>
      <c r="R62" s="1">
        <v>305</v>
      </c>
    </row>
    <row r="63" spans="1:43" x14ac:dyDescent="0.2">
      <c r="A63" s="1" t="s">
        <v>18</v>
      </c>
      <c r="B63" s="1">
        <v>25</v>
      </c>
      <c r="C63" s="1">
        <v>1</v>
      </c>
      <c r="D63" s="1">
        <v>741.35799999999995</v>
      </c>
      <c r="E63" s="1">
        <v>0.60429999999999995</v>
      </c>
      <c r="F63" s="1">
        <v>20</v>
      </c>
      <c r="G63" s="1">
        <v>723.33460000000002</v>
      </c>
      <c r="H63" s="1">
        <v>0.68049999999999999</v>
      </c>
      <c r="I63" s="1">
        <v>34</v>
      </c>
      <c r="J63" s="1">
        <v>743.90779999999995</v>
      </c>
      <c r="K63" s="1">
        <v>0.86040000000000005</v>
      </c>
      <c r="L63" s="1">
        <v>72</v>
      </c>
      <c r="M63" s="1">
        <v>723.72810000000004</v>
      </c>
      <c r="N63" s="1">
        <v>0.69079999999999997</v>
      </c>
      <c r="O63" s="1">
        <v>33</v>
      </c>
      <c r="P63" s="1">
        <v>741.84860000000003</v>
      </c>
      <c r="Q63" s="1">
        <v>0.18529999999999999</v>
      </c>
      <c r="R63" s="1">
        <v>85</v>
      </c>
    </row>
    <row r="64" spans="1:43" x14ac:dyDescent="0.2">
      <c r="A64" s="1" t="s">
        <v>18</v>
      </c>
      <c r="B64" s="1">
        <v>25</v>
      </c>
      <c r="C64" s="1">
        <v>1</v>
      </c>
      <c r="D64" s="1">
        <v>725.88639999999998</v>
      </c>
      <c r="E64" s="1">
        <v>1.1424000000000001</v>
      </c>
      <c r="F64" s="1">
        <v>36</v>
      </c>
      <c r="G64" s="1">
        <v>723.23069999999996</v>
      </c>
      <c r="H64" s="1">
        <v>0.49440000000000001</v>
      </c>
      <c r="I64" s="1">
        <v>29</v>
      </c>
      <c r="J64" s="1">
        <v>740.21730000000002</v>
      </c>
      <c r="K64" s="1">
        <v>0.72670000000000001</v>
      </c>
      <c r="L64" s="1">
        <v>60</v>
      </c>
      <c r="M64" s="1">
        <v>723.779</v>
      </c>
      <c r="N64" s="1">
        <v>0.66379999999999995</v>
      </c>
      <c r="O64" s="1">
        <v>32</v>
      </c>
      <c r="P64" s="1">
        <v>739.52369999999996</v>
      </c>
      <c r="Q64" s="1">
        <v>0.15559999999999999</v>
      </c>
      <c r="R64" s="1">
        <v>71</v>
      </c>
    </row>
    <row r="65" spans="1:18" x14ac:dyDescent="0.2">
      <c r="A65" s="1" t="s">
        <v>18</v>
      </c>
      <c r="B65" s="1">
        <v>25</v>
      </c>
      <c r="C65" s="1">
        <v>1</v>
      </c>
      <c r="D65" s="1">
        <v>729.92380000000003</v>
      </c>
      <c r="E65" s="1">
        <v>1.2526999999999999</v>
      </c>
      <c r="F65" s="1">
        <v>41</v>
      </c>
      <c r="G65" s="1">
        <v>723.80150000000003</v>
      </c>
      <c r="H65" s="1">
        <v>0.6079</v>
      </c>
      <c r="I65" s="1">
        <v>34</v>
      </c>
      <c r="J65" s="1">
        <v>733.05589999999995</v>
      </c>
      <c r="K65" s="1">
        <v>1.2101</v>
      </c>
      <c r="L65" s="1">
        <v>100</v>
      </c>
      <c r="M65" s="1">
        <v>723.55949999999996</v>
      </c>
      <c r="N65" s="1">
        <v>0.92620000000000002</v>
      </c>
      <c r="O65" s="1">
        <v>46</v>
      </c>
      <c r="P65" s="1">
        <v>745.95410000000004</v>
      </c>
      <c r="Q65" s="1">
        <v>0.1255</v>
      </c>
      <c r="R65" s="1">
        <v>55</v>
      </c>
    </row>
    <row r="66" spans="1:18" x14ac:dyDescent="0.2">
      <c r="A66" s="1" t="s">
        <v>18</v>
      </c>
      <c r="B66" s="1">
        <v>25</v>
      </c>
      <c r="C66" s="1">
        <v>1</v>
      </c>
      <c r="D66" s="1">
        <v>730.9085</v>
      </c>
      <c r="E66" s="1">
        <v>0.69079999999999997</v>
      </c>
      <c r="F66" s="1">
        <v>21</v>
      </c>
      <c r="G66" s="1">
        <v>724.13430000000005</v>
      </c>
      <c r="H66" s="1">
        <v>0.65810000000000002</v>
      </c>
      <c r="I66" s="1">
        <v>34</v>
      </c>
      <c r="J66" s="1">
        <v>737.9597</v>
      </c>
      <c r="K66" s="1">
        <v>0.77159999999999995</v>
      </c>
      <c r="L66" s="1">
        <v>61</v>
      </c>
      <c r="M66" s="1">
        <v>723.69910000000004</v>
      </c>
      <c r="N66" s="1">
        <v>0.7843</v>
      </c>
      <c r="O66" s="1">
        <v>41</v>
      </c>
      <c r="P66" s="1">
        <v>748.30259999999998</v>
      </c>
      <c r="Q66" s="1">
        <v>0.12839999999999999</v>
      </c>
      <c r="R66" s="1">
        <v>56</v>
      </c>
    </row>
    <row r="67" spans="1:18" x14ac:dyDescent="0.2">
      <c r="A67" s="1" t="s">
        <v>18</v>
      </c>
      <c r="B67" s="1">
        <v>25</v>
      </c>
      <c r="C67" s="1">
        <v>1</v>
      </c>
      <c r="D67" s="1">
        <v>724.73590000000002</v>
      </c>
      <c r="E67" s="1">
        <v>0.95850000000000002</v>
      </c>
      <c r="F67" s="1">
        <v>28</v>
      </c>
      <c r="G67" s="1">
        <v>724.26660000000004</v>
      </c>
      <c r="H67" s="1">
        <v>0.42970000000000003</v>
      </c>
      <c r="I67" s="1">
        <v>25</v>
      </c>
      <c r="J67" s="1">
        <v>809.52750000000003</v>
      </c>
      <c r="K67" s="1">
        <v>0.50160000000000005</v>
      </c>
      <c r="L67" s="1">
        <v>40</v>
      </c>
      <c r="M67" s="1">
        <v>723.6431</v>
      </c>
      <c r="N67" s="1">
        <v>0.72189999999999999</v>
      </c>
      <c r="O67" s="1">
        <v>39</v>
      </c>
      <c r="P67" s="1">
        <v>739.47</v>
      </c>
      <c r="Q67" s="1">
        <v>0.4168</v>
      </c>
      <c r="R67" s="1">
        <v>204</v>
      </c>
    </row>
    <row r="68" spans="1:18" x14ac:dyDescent="0.2">
      <c r="A68" s="1" t="s">
        <v>18</v>
      </c>
      <c r="B68" s="1">
        <v>25</v>
      </c>
      <c r="C68" s="1">
        <v>1</v>
      </c>
      <c r="D68" s="1">
        <v>730.06110000000001</v>
      </c>
      <c r="E68" s="1">
        <v>0.66090000000000004</v>
      </c>
      <c r="F68" s="1">
        <v>21</v>
      </c>
      <c r="G68" s="1">
        <v>724.89380000000006</v>
      </c>
      <c r="H68" s="1">
        <v>0.2893</v>
      </c>
      <c r="I68" s="1">
        <v>12</v>
      </c>
      <c r="J68" s="1">
        <v>740.04629999999997</v>
      </c>
      <c r="K68" s="1">
        <v>0.94520000000000004</v>
      </c>
      <c r="L68" s="1">
        <v>76</v>
      </c>
      <c r="M68" s="1">
        <v>723.83619999999996</v>
      </c>
      <c r="N68" s="1">
        <v>0.72460000000000002</v>
      </c>
      <c r="O68" s="1">
        <v>37</v>
      </c>
      <c r="P68" s="1">
        <v>744.32669999999996</v>
      </c>
      <c r="Q68" s="1">
        <v>0.1123</v>
      </c>
      <c r="R68" s="1">
        <v>48</v>
      </c>
    </row>
    <row r="69" spans="1:18" x14ac:dyDescent="0.2">
      <c r="A69" s="1" t="s">
        <v>18</v>
      </c>
      <c r="B69" s="1">
        <v>25</v>
      </c>
      <c r="C69" s="1">
        <v>1</v>
      </c>
      <c r="D69" s="1">
        <v>742.86279999999999</v>
      </c>
      <c r="E69" s="1">
        <v>0.61990000000000001</v>
      </c>
      <c r="F69" s="1">
        <v>21</v>
      </c>
      <c r="G69" s="1">
        <v>724.08130000000006</v>
      </c>
      <c r="H69" s="1">
        <v>0.37609999999999999</v>
      </c>
      <c r="I69" s="1">
        <v>16</v>
      </c>
      <c r="J69" s="1">
        <v>726.7251</v>
      </c>
      <c r="K69" s="1">
        <v>0.80149999999999999</v>
      </c>
      <c r="L69" s="1">
        <v>67</v>
      </c>
      <c r="M69" s="1">
        <v>724.73299999999995</v>
      </c>
      <c r="N69" s="1">
        <v>0.79569999999999996</v>
      </c>
      <c r="O69" s="1">
        <v>46</v>
      </c>
      <c r="P69" s="1">
        <v>745.72040000000004</v>
      </c>
      <c r="Q69" s="1">
        <v>0.1198</v>
      </c>
      <c r="R69" s="1">
        <v>52</v>
      </c>
    </row>
    <row r="70" spans="1:18" x14ac:dyDescent="0.2">
      <c r="A70" s="1" t="s">
        <v>18</v>
      </c>
      <c r="B70" s="1">
        <v>25</v>
      </c>
      <c r="C70" s="1">
        <v>1</v>
      </c>
      <c r="D70" s="1">
        <v>731.26990000000001</v>
      </c>
      <c r="E70" s="1">
        <v>0.67190000000000005</v>
      </c>
      <c r="F70" s="1">
        <v>22</v>
      </c>
      <c r="G70" s="1">
        <v>724.89020000000005</v>
      </c>
      <c r="H70" s="1">
        <v>0.22800000000000001</v>
      </c>
      <c r="I70" s="1">
        <v>8</v>
      </c>
      <c r="J70" s="1">
        <v>731.58240000000001</v>
      </c>
      <c r="K70" s="1">
        <v>1.4484999999999999</v>
      </c>
      <c r="L70" s="1">
        <v>120</v>
      </c>
      <c r="M70" s="1">
        <v>723.62840000000006</v>
      </c>
      <c r="N70" s="1">
        <v>0.52129999999999999</v>
      </c>
      <c r="O70" s="1">
        <v>27</v>
      </c>
      <c r="P70" s="1">
        <v>745.95410000000004</v>
      </c>
      <c r="Q70" s="1">
        <v>0.1512</v>
      </c>
      <c r="R70" s="1">
        <v>68</v>
      </c>
    </row>
    <row r="71" spans="1:18" x14ac:dyDescent="0.2">
      <c r="A71" s="1" t="s">
        <v>18</v>
      </c>
      <c r="B71" s="1">
        <v>25</v>
      </c>
      <c r="C71" s="1">
        <v>1</v>
      </c>
      <c r="D71" s="1">
        <v>742.798</v>
      </c>
      <c r="E71" s="1">
        <v>0.56989999999999996</v>
      </c>
      <c r="F71" s="1">
        <v>19</v>
      </c>
      <c r="G71" s="1">
        <v>723.88210000000004</v>
      </c>
      <c r="H71" s="1">
        <v>0.222</v>
      </c>
      <c r="I71" s="1">
        <v>12</v>
      </c>
      <c r="J71" s="1">
        <v>771.41610000000003</v>
      </c>
      <c r="K71" s="1">
        <v>0.72989999999999999</v>
      </c>
      <c r="L71" s="1">
        <v>56</v>
      </c>
      <c r="M71" s="1">
        <v>723.90819999999997</v>
      </c>
      <c r="N71" s="1">
        <v>0.94789999999999996</v>
      </c>
      <c r="O71" s="1">
        <v>50</v>
      </c>
      <c r="P71" s="1">
        <v>745.03570000000002</v>
      </c>
      <c r="Q71" s="1">
        <v>0.1825</v>
      </c>
      <c r="R71" s="1">
        <v>85</v>
      </c>
    </row>
    <row r="72" spans="1:18" x14ac:dyDescent="0.2">
      <c r="A72" s="1" t="s">
        <v>18</v>
      </c>
      <c r="B72" s="1">
        <v>25</v>
      </c>
      <c r="C72" s="1">
        <v>1</v>
      </c>
      <c r="D72" s="1">
        <v>725.46569999999997</v>
      </c>
      <c r="E72" s="1">
        <v>0.96499999999999997</v>
      </c>
      <c r="F72" s="1">
        <v>29</v>
      </c>
      <c r="G72" s="1">
        <v>724.14269999999999</v>
      </c>
      <c r="H72" s="1">
        <v>0.31759999999999999</v>
      </c>
      <c r="I72" s="1">
        <v>18</v>
      </c>
      <c r="J72" s="1">
        <v>727.64189999999996</v>
      </c>
      <c r="K72" s="1">
        <v>1.0153000000000001</v>
      </c>
      <c r="L72" s="1">
        <v>81</v>
      </c>
      <c r="M72" s="1">
        <v>724.25570000000005</v>
      </c>
      <c r="N72" s="1">
        <v>0.29409999999999997</v>
      </c>
      <c r="O72" s="1">
        <v>14</v>
      </c>
      <c r="P72" s="1">
        <v>745.95410000000004</v>
      </c>
      <c r="Q72" s="1">
        <v>0.1123</v>
      </c>
      <c r="R72" s="1">
        <v>48</v>
      </c>
    </row>
    <row r="73" spans="1:18" x14ac:dyDescent="0.2">
      <c r="A73" s="1" t="s">
        <v>18</v>
      </c>
      <c r="B73" s="1">
        <v>50</v>
      </c>
      <c r="C73" s="1">
        <v>1</v>
      </c>
      <c r="D73" s="1">
        <v>1629.2177999999999</v>
      </c>
      <c r="E73" s="1">
        <v>1.6921999999999999</v>
      </c>
      <c r="F73" s="1">
        <v>30</v>
      </c>
      <c r="G73" s="1">
        <v>1721.9077</v>
      </c>
      <c r="H73" s="1">
        <v>0.78069999999999995</v>
      </c>
      <c r="I73" s="1">
        <v>11</v>
      </c>
      <c r="J73" s="1">
        <v>1656.1714999999999</v>
      </c>
      <c r="K73" s="1">
        <v>1.5471999999999999</v>
      </c>
      <c r="L73" s="1">
        <v>77</v>
      </c>
      <c r="M73" s="1">
        <v>1670.3045999999999</v>
      </c>
      <c r="N73" s="1">
        <v>0.91849999999999998</v>
      </c>
      <c r="O73" s="1">
        <v>13</v>
      </c>
      <c r="P73" s="1">
        <v>1683.0537999999999</v>
      </c>
      <c r="Q73" s="1">
        <v>0.54469999999999996</v>
      </c>
      <c r="R73" s="1">
        <v>111</v>
      </c>
    </row>
    <row r="74" spans="1:18" x14ac:dyDescent="0.2">
      <c r="A74" s="1" t="s">
        <v>18</v>
      </c>
      <c r="B74" s="1">
        <v>50</v>
      </c>
      <c r="C74" s="1">
        <v>1</v>
      </c>
      <c r="D74" s="1">
        <v>1678.0997</v>
      </c>
      <c r="E74" s="1">
        <v>1.5071000000000001</v>
      </c>
      <c r="F74" s="1">
        <v>25</v>
      </c>
      <c r="G74" s="1">
        <v>1719.6815999999999</v>
      </c>
      <c r="H74" s="1">
        <v>0.78759999999999997</v>
      </c>
      <c r="I74" s="1">
        <v>11</v>
      </c>
      <c r="J74" s="1">
        <v>1666.7655999999999</v>
      </c>
      <c r="K74" s="1">
        <v>1.28</v>
      </c>
      <c r="L74" s="1">
        <v>66</v>
      </c>
      <c r="M74" s="1">
        <v>1581.3375000000001</v>
      </c>
      <c r="N74" s="1">
        <v>4.5872000000000002</v>
      </c>
      <c r="O74" s="1">
        <v>73</v>
      </c>
      <c r="P74" s="1">
        <v>1693.8429000000001</v>
      </c>
      <c r="Q74" s="1">
        <v>0.35880000000000001</v>
      </c>
      <c r="R74" s="1">
        <v>78</v>
      </c>
    </row>
    <row r="75" spans="1:18" x14ac:dyDescent="0.2">
      <c r="A75" s="1" t="s">
        <v>18</v>
      </c>
      <c r="B75" s="1">
        <v>50</v>
      </c>
      <c r="C75" s="1">
        <v>1</v>
      </c>
      <c r="D75" s="1">
        <v>1619.1510000000001</v>
      </c>
      <c r="E75" s="1">
        <v>3.2117</v>
      </c>
      <c r="F75" s="1">
        <v>62</v>
      </c>
      <c r="G75" s="1">
        <v>1713.2654</v>
      </c>
      <c r="H75" s="1">
        <v>1.3693</v>
      </c>
      <c r="I75" s="1">
        <v>20</v>
      </c>
      <c r="J75" s="1">
        <v>1697.5068000000001</v>
      </c>
      <c r="K75" s="1">
        <v>1.6897</v>
      </c>
      <c r="L75" s="1">
        <v>87</v>
      </c>
      <c r="M75" s="1">
        <v>1580.1231</v>
      </c>
      <c r="N75" s="1">
        <v>3.1415999999999999</v>
      </c>
      <c r="O75" s="1">
        <v>53</v>
      </c>
      <c r="P75" s="1">
        <v>1616.5921000000001</v>
      </c>
      <c r="Q75" s="1">
        <v>0.95789999999999997</v>
      </c>
      <c r="R75" s="1">
        <v>225</v>
      </c>
    </row>
    <row r="76" spans="1:18" x14ac:dyDescent="0.2">
      <c r="A76" s="1" t="s">
        <v>18</v>
      </c>
      <c r="B76" s="1">
        <v>50</v>
      </c>
      <c r="C76" s="1">
        <v>1</v>
      </c>
      <c r="D76" s="1">
        <v>1622.3017</v>
      </c>
      <c r="E76" s="1">
        <v>1.6869000000000001</v>
      </c>
      <c r="F76" s="1">
        <v>28</v>
      </c>
      <c r="G76" s="1">
        <v>1722.8612000000001</v>
      </c>
      <c r="H76" s="1">
        <v>0.44190000000000002</v>
      </c>
      <c r="I76" s="1">
        <v>5</v>
      </c>
      <c r="J76" s="1">
        <v>1669.8747000000001</v>
      </c>
      <c r="K76" s="1">
        <v>1.2310000000000001</v>
      </c>
      <c r="L76" s="1">
        <v>65</v>
      </c>
      <c r="M76" s="1">
        <v>1580.4093</v>
      </c>
      <c r="N76" s="1">
        <v>3.7412999999999998</v>
      </c>
      <c r="O76" s="1">
        <v>61</v>
      </c>
      <c r="P76" s="1">
        <v>1672.6602</v>
      </c>
      <c r="Q76" s="1">
        <v>0.55330000000000001</v>
      </c>
      <c r="R76" s="1">
        <v>126</v>
      </c>
    </row>
    <row r="77" spans="1:18" x14ac:dyDescent="0.2">
      <c r="A77" s="1" t="s">
        <v>18</v>
      </c>
      <c r="B77" s="1">
        <v>50</v>
      </c>
      <c r="C77" s="1">
        <v>1</v>
      </c>
      <c r="D77" s="1">
        <v>1609.4811999999999</v>
      </c>
      <c r="E77" s="1">
        <v>2.2006999999999999</v>
      </c>
      <c r="F77" s="1">
        <v>42</v>
      </c>
      <c r="G77" s="1">
        <v>1723.1116</v>
      </c>
      <c r="H77" s="1">
        <v>0.62490000000000001</v>
      </c>
      <c r="I77" s="1">
        <v>9</v>
      </c>
      <c r="J77" s="1">
        <v>1682.9611</v>
      </c>
      <c r="K77" s="1">
        <v>0.89959999999999996</v>
      </c>
      <c r="L77" s="1">
        <v>44</v>
      </c>
      <c r="M77" s="1">
        <v>1580.9088999999999</v>
      </c>
      <c r="N77" s="1">
        <v>4.0781000000000001</v>
      </c>
      <c r="O77" s="1">
        <v>65</v>
      </c>
      <c r="P77" s="1">
        <v>1671.3302000000001</v>
      </c>
      <c r="Q77" s="1">
        <v>0.46970000000000001</v>
      </c>
      <c r="R77" s="1">
        <v>106</v>
      </c>
    </row>
    <row r="78" spans="1:18" x14ac:dyDescent="0.2">
      <c r="A78" s="1" t="s">
        <v>18</v>
      </c>
      <c r="B78" s="1">
        <v>50</v>
      </c>
      <c r="C78" s="1">
        <v>1</v>
      </c>
      <c r="D78" s="1">
        <v>1612.7571</v>
      </c>
      <c r="E78" s="1">
        <v>2.0141</v>
      </c>
      <c r="F78" s="1">
        <v>35</v>
      </c>
      <c r="G78" s="1">
        <v>1717.7487000000001</v>
      </c>
      <c r="H78" s="1">
        <v>0.74880000000000002</v>
      </c>
      <c r="I78" s="1">
        <v>11</v>
      </c>
      <c r="J78" s="1">
        <v>1637.4048</v>
      </c>
      <c r="K78" s="1">
        <v>1.9172</v>
      </c>
      <c r="L78" s="1">
        <v>100</v>
      </c>
      <c r="M78" s="1">
        <v>1580.1497999999999</v>
      </c>
      <c r="N78" s="1">
        <v>4.0598999999999998</v>
      </c>
      <c r="O78" s="1">
        <v>68</v>
      </c>
      <c r="P78" s="1">
        <v>1679.0913</v>
      </c>
      <c r="Q78" s="1">
        <v>0.34129999999999999</v>
      </c>
      <c r="R78" s="1">
        <v>73</v>
      </c>
    </row>
    <row r="79" spans="1:18" x14ac:dyDescent="0.2">
      <c r="A79" s="1" t="s">
        <v>18</v>
      </c>
      <c r="B79" s="1">
        <v>50</v>
      </c>
      <c r="C79" s="1">
        <v>1</v>
      </c>
      <c r="D79" s="1">
        <v>1608.5173</v>
      </c>
      <c r="E79" s="1">
        <v>2.0400999999999998</v>
      </c>
      <c r="F79" s="1">
        <v>38</v>
      </c>
      <c r="G79" s="1">
        <v>1714.0735999999999</v>
      </c>
      <c r="H79" s="1">
        <v>2.9228999999999998</v>
      </c>
      <c r="I79" s="1">
        <v>46</v>
      </c>
      <c r="J79" s="1">
        <v>1628.4075</v>
      </c>
      <c r="K79" s="1">
        <v>2.3338000000000001</v>
      </c>
      <c r="L79" s="1">
        <v>125</v>
      </c>
      <c r="M79" s="1">
        <v>1581.0861</v>
      </c>
      <c r="N79" s="1">
        <v>3.5524</v>
      </c>
      <c r="O79" s="1">
        <v>61</v>
      </c>
      <c r="P79" s="1">
        <v>1667.5813000000001</v>
      </c>
      <c r="Q79" s="1">
        <v>0.4652</v>
      </c>
      <c r="R79" s="1">
        <v>88</v>
      </c>
    </row>
    <row r="80" spans="1:18" x14ac:dyDescent="0.2">
      <c r="A80" s="1" t="s">
        <v>18</v>
      </c>
      <c r="B80" s="1">
        <v>50</v>
      </c>
      <c r="C80" s="1">
        <v>1</v>
      </c>
      <c r="D80" s="1">
        <v>1620.6277</v>
      </c>
      <c r="E80" s="1">
        <v>2.1663999999999999</v>
      </c>
      <c r="F80" s="1">
        <v>39</v>
      </c>
      <c r="G80" s="1">
        <v>1722.2474</v>
      </c>
      <c r="H80" s="1">
        <v>0.50180000000000002</v>
      </c>
      <c r="I80" s="1">
        <v>7</v>
      </c>
      <c r="J80" s="1">
        <v>1659.2843</v>
      </c>
      <c r="K80" s="1">
        <v>1.2977000000000001</v>
      </c>
      <c r="L80" s="1">
        <v>64</v>
      </c>
      <c r="M80" s="1">
        <v>1580.8431</v>
      </c>
      <c r="N80" s="1">
        <v>3.4826999999999999</v>
      </c>
      <c r="O80" s="1">
        <v>57</v>
      </c>
      <c r="P80" s="1">
        <v>1676.5627999999999</v>
      </c>
      <c r="Q80" s="1">
        <v>0.34489999999999998</v>
      </c>
      <c r="R80" s="1">
        <v>75</v>
      </c>
    </row>
    <row r="81" spans="1:18" x14ac:dyDescent="0.2">
      <c r="A81" s="1" t="s">
        <v>18</v>
      </c>
      <c r="B81" s="1">
        <v>50</v>
      </c>
      <c r="C81" s="1">
        <v>1</v>
      </c>
      <c r="D81" s="1">
        <v>1617.5195000000001</v>
      </c>
      <c r="E81" s="1">
        <v>2.1269</v>
      </c>
      <c r="F81" s="1">
        <v>37</v>
      </c>
      <c r="G81" s="1">
        <v>1717.1660999999999</v>
      </c>
      <c r="H81" s="1">
        <v>0.98629999999999995</v>
      </c>
      <c r="I81" s="1">
        <v>15</v>
      </c>
      <c r="J81" s="1">
        <v>1627.5981999999999</v>
      </c>
      <c r="K81" s="1">
        <v>1.9351</v>
      </c>
      <c r="L81" s="1">
        <v>101</v>
      </c>
      <c r="M81" s="1">
        <v>1581.4666</v>
      </c>
      <c r="N81" s="1">
        <v>3.4388999999999998</v>
      </c>
      <c r="O81" s="1">
        <v>59</v>
      </c>
      <c r="P81" s="1">
        <v>1678.9236000000001</v>
      </c>
      <c r="Q81" s="1">
        <v>0.33650000000000002</v>
      </c>
      <c r="R81" s="1">
        <v>72</v>
      </c>
    </row>
    <row r="82" spans="1:18" x14ac:dyDescent="0.2">
      <c r="A82" s="1" t="s">
        <v>18</v>
      </c>
      <c r="B82" s="1">
        <v>50</v>
      </c>
      <c r="C82" s="1">
        <v>1</v>
      </c>
      <c r="D82" s="1">
        <v>1642.2621999999999</v>
      </c>
      <c r="E82" s="1">
        <v>1.5054000000000001</v>
      </c>
      <c r="F82" s="1">
        <v>26</v>
      </c>
      <c r="G82" s="1">
        <v>1717.7076999999999</v>
      </c>
      <c r="H82" s="1">
        <v>0.87839999999999996</v>
      </c>
      <c r="I82" s="1">
        <v>12</v>
      </c>
      <c r="J82" s="1">
        <v>1637.8617999999999</v>
      </c>
      <c r="K82" s="1">
        <v>2.0926999999999998</v>
      </c>
      <c r="L82" s="1">
        <v>109</v>
      </c>
      <c r="M82" s="1">
        <v>1583.1959999999999</v>
      </c>
      <c r="N82" s="1">
        <v>2.6674000000000002</v>
      </c>
      <c r="O82" s="1">
        <v>43</v>
      </c>
      <c r="P82" s="1">
        <v>1655.5011</v>
      </c>
      <c r="Q82" s="1">
        <v>0.70079999999999998</v>
      </c>
      <c r="R82" s="1">
        <v>154</v>
      </c>
    </row>
    <row r="83" spans="1:18" x14ac:dyDescent="0.2">
      <c r="A83" s="1" t="s">
        <v>18</v>
      </c>
      <c r="B83" s="1">
        <v>100</v>
      </c>
      <c r="C83" s="1">
        <v>1</v>
      </c>
      <c r="D83" s="1">
        <v>3496.1921000000002</v>
      </c>
      <c r="E83" s="1">
        <v>7.8426999999999998</v>
      </c>
      <c r="F83" s="1">
        <v>70</v>
      </c>
      <c r="G83" s="1">
        <v>3657.8748999999998</v>
      </c>
      <c r="H83" s="1">
        <v>3.2004000000000001</v>
      </c>
      <c r="I83" s="1">
        <v>11</v>
      </c>
      <c r="J83" s="1">
        <v>3549.7874000000002</v>
      </c>
      <c r="K83" s="1">
        <v>4.2720000000000002</v>
      </c>
      <c r="L83" s="1">
        <v>122</v>
      </c>
      <c r="M83" s="1">
        <v>3401.5617000000002</v>
      </c>
      <c r="N83" s="1">
        <v>6.6416000000000004</v>
      </c>
      <c r="O83" s="1">
        <v>28</v>
      </c>
      <c r="P83" s="1">
        <v>3552.2842999999998</v>
      </c>
      <c r="Q83" s="1">
        <v>1.2495000000000001</v>
      </c>
      <c r="R83" s="1">
        <v>128</v>
      </c>
    </row>
    <row r="84" spans="1:18" x14ac:dyDescent="0.2">
      <c r="A84" s="1" t="s">
        <v>18</v>
      </c>
      <c r="B84" s="1">
        <v>100</v>
      </c>
      <c r="C84" s="1">
        <v>1</v>
      </c>
      <c r="D84" s="1">
        <v>3503.9198999999999</v>
      </c>
      <c r="E84" s="1">
        <v>7.5240999999999998</v>
      </c>
      <c r="F84" s="1">
        <v>67</v>
      </c>
      <c r="G84" s="1">
        <v>3663.6134000000002</v>
      </c>
      <c r="H84" s="1">
        <v>2.6951000000000001</v>
      </c>
      <c r="I84" s="1">
        <v>9</v>
      </c>
      <c r="J84" s="1">
        <v>3563.5783000000001</v>
      </c>
      <c r="K84" s="1">
        <v>6.8018000000000001</v>
      </c>
      <c r="L84" s="1">
        <v>191</v>
      </c>
      <c r="M84" s="1">
        <v>3377.4607000000001</v>
      </c>
      <c r="N84" s="1">
        <v>10.0687</v>
      </c>
      <c r="O84" s="1">
        <v>43</v>
      </c>
      <c r="P84" s="1">
        <v>3494.76</v>
      </c>
      <c r="Q84" s="1">
        <v>4.5385</v>
      </c>
      <c r="R84" s="1">
        <v>472</v>
      </c>
    </row>
    <row r="85" spans="1:18" x14ac:dyDescent="0.2">
      <c r="A85" s="1" t="s">
        <v>18</v>
      </c>
      <c r="B85" s="1">
        <v>100</v>
      </c>
      <c r="C85" s="1">
        <v>1</v>
      </c>
      <c r="D85" s="1">
        <v>3506.0526</v>
      </c>
      <c r="E85" s="1">
        <v>8.9169999999999998</v>
      </c>
      <c r="F85" s="1">
        <v>82</v>
      </c>
      <c r="G85" s="1">
        <v>3656.2184000000002</v>
      </c>
      <c r="H85" s="1">
        <v>3.9721000000000002</v>
      </c>
      <c r="I85" s="1">
        <v>14</v>
      </c>
      <c r="J85" s="1">
        <v>3611.2952</v>
      </c>
      <c r="K85" s="1">
        <v>5.0521000000000003</v>
      </c>
      <c r="L85" s="1">
        <v>144</v>
      </c>
      <c r="M85" s="1">
        <v>3529.1804000000002</v>
      </c>
      <c r="N85" s="1">
        <v>4.6166</v>
      </c>
      <c r="O85" s="1">
        <v>19</v>
      </c>
      <c r="P85" s="1">
        <v>3445.6037000000001</v>
      </c>
      <c r="Q85" s="1">
        <v>2.2437</v>
      </c>
      <c r="R85" s="1">
        <v>235</v>
      </c>
    </row>
    <row r="86" spans="1:18" x14ac:dyDescent="0.2">
      <c r="A86" s="1" t="s">
        <v>18</v>
      </c>
      <c r="B86" s="1">
        <v>100</v>
      </c>
      <c r="C86" s="1">
        <v>1</v>
      </c>
      <c r="D86" s="1">
        <v>3533.8878</v>
      </c>
      <c r="E86" s="1">
        <v>5.7058</v>
      </c>
      <c r="F86" s="1">
        <v>51</v>
      </c>
      <c r="G86" s="1">
        <v>3658.9212000000002</v>
      </c>
      <c r="H86" s="1">
        <v>4.5164999999999997</v>
      </c>
      <c r="I86" s="1">
        <v>16</v>
      </c>
      <c r="J86" s="1">
        <v>3554.2348999999999</v>
      </c>
      <c r="K86" s="1">
        <v>5.9173</v>
      </c>
      <c r="L86" s="1">
        <v>170</v>
      </c>
      <c r="M86" s="1">
        <v>3321.2853</v>
      </c>
      <c r="N86" s="1">
        <v>11.5724</v>
      </c>
      <c r="O86" s="1">
        <v>53</v>
      </c>
      <c r="P86" s="1">
        <v>3580.0641999999998</v>
      </c>
      <c r="Q86" s="1">
        <v>1.2986</v>
      </c>
      <c r="R86" s="1">
        <v>134</v>
      </c>
    </row>
    <row r="87" spans="1:18" x14ac:dyDescent="0.2">
      <c r="A87" s="1" t="s">
        <v>18</v>
      </c>
      <c r="B87" s="1">
        <v>100</v>
      </c>
      <c r="C87" s="1">
        <v>1</v>
      </c>
      <c r="D87" s="1">
        <v>3525.6786000000002</v>
      </c>
      <c r="E87" s="1">
        <v>9.8091000000000008</v>
      </c>
      <c r="F87" s="1">
        <v>89</v>
      </c>
      <c r="G87" s="1">
        <v>3661.0086999999999</v>
      </c>
      <c r="H87" s="1">
        <v>1.3740000000000001</v>
      </c>
      <c r="I87" s="1">
        <v>4</v>
      </c>
      <c r="J87" s="1">
        <v>3493.1104</v>
      </c>
      <c r="K87" s="1">
        <v>8.6735000000000007</v>
      </c>
      <c r="L87" s="1">
        <v>246</v>
      </c>
      <c r="M87" s="1">
        <v>3314.9506000000001</v>
      </c>
      <c r="N87" s="1">
        <v>18.903199999999998</v>
      </c>
      <c r="O87" s="1">
        <v>85</v>
      </c>
      <c r="P87" s="1">
        <v>3525.1143999999999</v>
      </c>
      <c r="Q87" s="1">
        <v>3.0337000000000001</v>
      </c>
      <c r="R87" s="1">
        <v>312</v>
      </c>
    </row>
    <row r="88" spans="1:18" x14ac:dyDescent="0.2">
      <c r="A88" s="1" t="s">
        <v>18</v>
      </c>
      <c r="B88" s="1">
        <v>100</v>
      </c>
      <c r="C88" s="1">
        <v>1</v>
      </c>
      <c r="D88" s="1">
        <v>3460.2048</v>
      </c>
      <c r="E88" s="1">
        <v>6.6604000000000001</v>
      </c>
      <c r="F88" s="1">
        <v>62</v>
      </c>
      <c r="G88" s="1">
        <v>3663.7561000000001</v>
      </c>
      <c r="H88" s="1">
        <v>3.1644000000000001</v>
      </c>
      <c r="I88" s="1">
        <v>11</v>
      </c>
      <c r="J88" s="1">
        <v>3450.8364999999999</v>
      </c>
      <c r="K88" s="1">
        <v>6.8906000000000001</v>
      </c>
      <c r="L88" s="1">
        <v>193</v>
      </c>
      <c r="M88" s="1">
        <v>3502.6507999999999</v>
      </c>
      <c r="N88" s="1">
        <v>5.6128999999999998</v>
      </c>
      <c r="O88" s="1">
        <v>23</v>
      </c>
      <c r="P88" s="1">
        <v>3504.0729999999999</v>
      </c>
      <c r="Q88" s="1">
        <v>1.4477</v>
      </c>
      <c r="R88" s="1">
        <v>150</v>
      </c>
    </row>
    <row r="89" spans="1:18" x14ac:dyDescent="0.2">
      <c r="A89" s="1" t="s">
        <v>18</v>
      </c>
      <c r="B89" s="1">
        <v>100</v>
      </c>
      <c r="C89" s="1">
        <v>1</v>
      </c>
      <c r="D89" s="1">
        <v>3425.1804999999999</v>
      </c>
      <c r="E89" s="1">
        <v>7.8181000000000003</v>
      </c>
      <c r="F89" s="1">
        <v>74</v>
      </c>
      <c r="G89" s="1">
        <v>3680.3606</v>
      </c>
      <c r="H89" s="1">
        <v>1.3560000000000001</v>
      </c>
      <c r="I89" s="1">
        <v>4</v>
      </c>
      <c r="J89" s="1">
        <v>3436.6716999999999</v>
      </c>
      <c r="K89" s="1">
        <v>6.7994000000000003</v>
      </c>
      <c r="L89" s="1">
        <v>195</v>
      </c>
      <c r="M89" s="1">
        <v>3318.7316000000001</v>
      </c>
      <c r="N89" s="1">
        <v>13.4993</v>
      </c>
      <c r="O89" s="1">
        <v>64</v>
      </c>
      <c r="P89" s="1">
        <v>3545.4018999999998</v>
      </c>
      <c r="Q89" s="1">
        <v>1.1874</v>
      </c>
      <c r="R89" s="1">
        <v>118</v>
      </c>
    </row>
    <row r="90" spans="1:18" x14ac:dyDescent="0.2">
      <c r="A90" s="1" t="s">
        <v>18</v>
      </c>
      <c r="B90" s="1">
        <v>100</v>
      </c>
      <c r="C90" s="1">
        <v>1</v>
      </c>
      <c r="D90" s="1">
        <v>3462.3402000000001</v>
      </c>
      <c r="E90" s="1">
        <v>8.2093000000000007</v>
      </c>
      <c r="F90" s="1">
        <v>74</v>
      </c>
      <c r="G90" s="1">
        <v>3674.3189000000002</v>
      </c>
      <c r="H90" s="1">
        <v>1.3353999999999999</v>
      </c>
      <c r="I90" s="1">
        <v>4</v>
      </c>
      <c r="J90" s="1">
        <v>3494.8328000000001</v>
      </c>
      <c r="K90" s="1">
        <v>5.3777999999999997</v>
      </c>
      <c r="L90" s="1">
        <v>154</v>
      </c>
      <c r="M90" s="1">
        <v>3336.9634000000001</v>
      </c>
      <c r="N90" s="1">
        <v>13.6312</v>
      </c>
      <c r="O90" s="1">
        <v>61</v>
      </c>
      <c r="P90" s="1">
        <v>3522.4268000000002</v>
      </c>
      <c r="Q90" s="1">
        <v>2.2303999999999999</v>
      </c>
      <c r="R90" s="1">
        <v>233</v>
      </c>
    </row>
    <row r="91" spans="1:18" x14ac:dyDescent="0.2">
      <c r="A91" s="1" t="s">
        <v>18</v>
      </c>
      <c r="B91" s="1">
        <v>100</v>
      </c>
      <c r="C91" s="1">
        <v>1</v>
      </c>
      <c r="D91" s="1">
        <v>3494.6590000000001</v>
      </c>
      <c r="E91" s="1">
        <v>5.8235999999999999</v>
      </c>
      <c r="F91" s="1">
        <v>53</v>
      </c>
      <c r="G91" s="1">
        <v>3658.9582</v>
      </c>
      <c r="H91" s="1">
        <v>3.7059000000000002</v>
      </c>
      <c r="I91" s="1">
        <v>13</v>
      </c>
      <c r="J91" s="1">
        <v>3448.5430000000001</v>
      </c>
      <c r="K91" s="1">
        <v>4.6696</v>
      </c>
      <c r="L91" s="1">
        <v>133</v>
      </c>
      <c r="M91" s="1">
        <v>3344.8584000000001</v>
      </c>
      <c r="N91" s="1">
        <v>11.5672</v>
      </c>
      <c r="O91" s="1">
        <v>51</v>
      </c>
      <c r="P91" s="1">
        <v>3517.5450999999998</v>
      </c>
      <c r="Q91" s="1">
        <v>2.6625999999999999</v>
      </c>
      <c r="R91" s="1">
        <v>274</v>
      </c>
    </row>
    <row r="92" spans="1:18" x14ac:dyDescent="0.2">
      <c r="A92" s="1" t="s">
        <v>18</v>
      </c>
      <c r="B92" s="1">
        <v>100</v>
      </c>
      <c r="C92" s="1">
        <v>1</v>
      </c>
      <c r="D92" s="1">
        <v>3509.8944000000001</v>
      </c>
      <c r="E92" s="1">
        <v>6.3287000000000004</v>
      </c>
      <c r="F92" s="1">
        <v>55</v>
      </c>
      <c r="G92" s="1">
        <v>3661.7878000000001</v>
      </c>
      <c r="H92" s="1">
        <v>2.4209000000000001</v>
      </c>
      <c r="I92" s="1">
        <v>8</v>
      </c>
      <c r="J92" s="1">
        <v>3601.6156999999998</v>
      </c>
      <c r="K92" s="1">
        <v>8.7973999999999997</v>
      </c>
      <c r="L92" s="1">
        <v>252</v>
      </c>
      <c r="M92" s="1">
        <v>3312.4724000000001</v>
      </c>
      <c r="N92" s="1">
        <v>16.975999999999999</v>
      </c>
      <c r="O92" s="1">
        <v>80</v>
      </c>
      <c r="P92" s="1">
        <v>3517.3627000000001</v>
      </c>
      <c r="Q92" s="1">
        <v>1.2614000000000001</v>
      </c>
      <c r="R92" s="1">
        <v>129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231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rt</vt:lpstr>
      <vt:lpstr>Original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xieyi</dc:creator>
  <dc:description/>
  <cp:lastModifiedBy>xieyi</cp:lastModifiedBy>
  <cp:revision>11</cp:revision>
  <dcterms:created xsi:type="dcterms:W3CDTF">2022-01-17T17:04:03Z</dcterms:created>
  <dcterms:modified xsi:type="dcterms:W3CDTF">2022-05-16T02:31:09Z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