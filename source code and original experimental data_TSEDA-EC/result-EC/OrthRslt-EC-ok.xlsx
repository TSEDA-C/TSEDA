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0490" windowHeight="8220" tabRatio="875"/>
  </bookViews>
  <sheets>
    <sheet name="Para." sheetId="185" r:id="rId1"/>
    <sheet name="Total" sheetId="73" r:id="rId2"/>
    <sheet name="1" sheetId="37" r:id="rId3"/>
    <sheet name="2" sheetId="191" r:id="rId4"/>
    <sheet name="3" sheetId="192" r:id="rId5"/>
    <sheet name="4" sheetId="193" r:id="rId6"/>
    <sheet name="5" sheetId="194" r:id="rId7"/>
    <sheet name="6" sheetId="195" r:id="rId8"/>
    <sheet name="7" sheetId="196" r:id="rId9"/>
    <sheet name="8" sheetId="197" r:id="rId10"/>
    <sheet name="9" sheetId="198" r:id="rId11"/>
    <sheet name="10" sheetId="199" r:id="rId12"/>
    <sheet name="11" sheetId="200" r:id="rId13"/>
    <sheet name="12" sheetId="201" r:id="rId14"/>
    <sheet name="13" sheetId="202" r:id="rId15"/>
    <sheet name="14" sheetId="203" r:id="rId16"/>
    <sheet name="15" sheetId="204" r:id="rId17"/>
    <sheet name="16" sheetId="205" r:id="rId18"/>
    <sheet name="17" sheetId="206" r:id="rId19"/>
    <sheet name="18" sheetId="207" r:id="rId20"/>
    <sheet name="19" sheetId="208" r:id="rId21"/>
    <sheet name="20" sheetId="209" r:id="rId22"/>
    <sheet name="21" sheetId="210" r:id="rId23"/>
    <sheet name="22" sheetId="211" r:id="rId24"/>
    <sheet name="23" sheetId="212" r:id="rId25"/>
    <sheet name="24" sheetId="213" r:id="rId26"/>
    <sheet name="25" sheetId="214" r:id="rId27"/>
  </sheets>
  <definedNames>
    <definedName name="_xlnm._FilterDatabase" localSheetId="2" hidden="1">'1'!$H$1:$J$47</definedName>
    <definedName name="_xlnm._FilterDatabase" localSheetId="11" hidden="1">'10'!$H$1:$J$47</definedName>
    <definedName name="_xlnm._FilterDatabase" localSheetId="12" hidden="1">'11'!$H$1:$J$47</definedName>
    <definedName name="_xlnm._FilterDatabase" localSheetId="13" hidden="1">'12'!$H$1:$J$47</definedName>
    <definedName name="_xlnm._FilterDatabase" localSheetId="14" hidden="1">'13'!$H$1:$J$47</definedName>
    <definedName name="_xlnm._FilterDatabase" localSheetId="15" hidden="1">'14'!$H$1:$J$47</definedName>
    <definedName name="_xlnm._FilterDatabase" localSheetId="16" hidden="1">'15'!$H$1:$J$47</definedName>
    <definedName name="_xlnm._FilterDatabase" localSheetId="17" hidden="1">'16'!$H$1:$J$47</definedName>
    <definedName name="_xlnm._FilterDatabase" localSheetId="18" hidden="1">'17'!$H$1:$J$47</definedName>
    <definedName name="_xlnm._FilterDatabase" localSheetId="19" hidden="1">'18'!$H$1:$J$47</definedName>
    <definedName name="_xlnm._FilterDatabase" localSheetId="20" hidden="1">'19'!$H$1:$J$47</definedName>
    <definedName name="_xlnm._FilterDatabase" localSheetId="3" hidden="1">'2'!$H$1:$J$47</definedName>
    <definedName name="_xlnm._FilterDatabase" localSheetId="21" hidden="1">'20'!$H$1:$J$47</definedName>
    <definedName name="_xlnm._FilterDatabase" localSheetId="22" hidden="1">'21'!$H$1:$J$47</definedName>
    <definedName name="_xlnm._FilterDatabase" localSheetId="23" hidden="1">'22'!$H$1:$J$47</definedName>
    <definedName name="_xlnm._FilterDatabase" localSheetId="24" hidden="1">'23'!$H$1:$J$47</definedName>
    <definedName name="_xlnm._FilterDatabase" localSheetId="25" hidden="1">'24'!$H$1:$J$47</definedName>
    <definedName name="_xlnm._FilterDatabase" localSheetId="26" hidden="1">'25'!$H$1:$J$47</definedName>
    <definedName name="_xlnm._FilterDatabase" localSheetId="4" hidden="1">'3'!$H$1:$J$47</definedName>
    <definedName name="_xlnm._FilterDatabase" localSheetId="5" hidden="1">'4'!$H$1:$J$47</definedName>
    <definedName name="_xlnm._FilterDatabase" localSheetId="6" hidden="1">'5'!$H$1:$J$47</definedName>
    <definedName name="_xlnm._FilterDatabase" localSheetId="7" hidden="1">'6'!$H$1:$J$47</definedName>
    <definedName name="_xlnm._FilterDatabase" localSheetId="8" hidden="1">'7'!$H$1:$J$47</definedName>
    <definedName name="_xlnm._FilterDatabase" localSheetId="9" hidden="1">'8'!$H$1:$J$47</definedName>
    <definedName name="_xlnm._FilterDatabase" localSheetId="10" hidden="1">'9'!$H$1:$J$47</definedName>
    <definedName name="_xlnm._FilterDatabase" localSheetId="1" hidden="1">Total!$A$1:$C$10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85" l="1"/>
  <c r="S5" i="197"/>
  <c r="Q3" i="197"/>
  <c r="M2" i="197"/>
  <c r="S10" i="197"/>
  <c r="T3" i="197"/>
  <c r="U2" i="197"/>
  <c r="O5" i="197"/>
  <c r="U6" i="197"/>
  <c r="O2" i="197"/>
  <c r="L4" i="197"/>
  <c r="S7" i="197"/>
  <c r="M7" i="197"/>
  <c r="U9" i="197"/>
  <c r="N7" i="197"/>
  <c r="U7" i="197"/>
  <c r="R10" i="197"/>
  <c r="N5" i="197"/>
  <c r="L3" i="197"/>
  <c r="L6" i="197"/>
  <c r="T8" i="197"/>
  <c r="Q4" i="197"/>
  <c r="O3" i="197"/>
  <c r="U3" i="197"/>
  <c r="L5" i="197"/>
  <c r="Q8" i="197"/>
  <c r="T5" i="197"/>
  <c r="P10" i="197"/>
  <c r="Q10" i="197"/>
  <c r="S3" i="197"/>
  <c r="P4" i="197"/>
  <c r="N6" i="197"/>
  <c r="R9" i="197"/>
  <c r="Q6" i="197"/>
  <c r="S8" i="197"/>
  <c r="T2" i="197"/>
  <c r="Q5" i="197"/>
  <c r="P9" i="197"/>
  <c r="O8" i="197"/>
  <c r="S6" i="197"/>
  <c r="Q7" i="197"/>
  <c r="N10" i="197"/>
  <c r="T6" i="197"/>
  <c r="R3" i="197"/>
  <c r="N9" i="197"/>
  <c r="P7" i="197"/>
  <c r="S4" i="197"/>
  <c r="N8" i="197"/>
  <c r="P2" i="197"/>
  <c r="M5" i="197"/>
  <c r="Q2" i="197"/>
  <c r="M3" i="197"/>
  <c r="U5" i="197"/>
  <c r="L2" i="197"/>
  <c r="R4" i="197"/>
  <c r="L8" i="197"/>
  <c r="P8" i="197"/>
  <c r="P6" i="197"/>
  <c r="O6" i="197"/>
  <c r="U8" i="197"/>
  <c r="L7" i="197"/>
  <c r="P5" i="197"/>
  <c r="M6" i="197"/>
  <c r="T7" i="197"/>
  <c r="Q9" i="197"/>
  <c r="O10" i="197"/>
  <c r="O9" i="197"/>
  <c r="M4" i="197"/>
  <c r="R2" i="197"/>
  <c r="R5" i="197"/>
  <c r="R6" i="197"/>
  <c r="O4" i="197"/>
  <c r="M8" i="197"/>
  <c r="T9" i="197"/>
  <c r="M10" i="197"/>
  <c r="N4" i="197"/>
  <c r="O7" i="197"/>
  <c r="U10" i="197"/>
  <c r="S2" i="197"/>
  <c r="R8" i="197"/>
  <c r="P3" i="197"/>
  <c r="L9" i="197"/>
  <c r="S9" i="197"/>
  <c r="U4" i="197"/>
  <c r="N3" i="197"/>
  <c r="M9" i="197"/>
  <c r="R7" i="197"/>
  <c r="T10" i="197"/>
  <c r="L10" i="197"/>
  <c r="N2" i="197"/>
  <c r="T4" i="197"/>
  <c r="W7" i="197" l="1"/>
  <c r="W8" i="197"/>
  <c r="W4" i="197"/>
  <c r="W3" i="197"/>
  <c r="W9" i="197"/>
  <c r="W5" i="197"/>
  <c r="W10" i="197"/>
  <c r="W6" i="197"/>
  <c r="W2" i="197"/>
  <c r="T26" i="185"/>
  <c r="S26" i="185"/>
  <c r="R26" i="185"/>
  <c r="Q26" i="185"/>
  <c r="P26" i="185"/>
  <c r="O26" i="185"/>
  <c r="T25" i="185"/>
  <c r="S25" i="185"/>
  <c r="R25" i="185"/>
  <c r="Q25" i="185"/>
  <c r="P25" i="185"/>
  <c r="O25" i="185"/>
  <c r="T24" i="185"/>
  <c r="S24" i="185"/>
  <c r="R24" i="185"/>
  <c r="Q24" i="185"/>
  <c r="P24" i="185"/>
  <c r="O24" i="185"/>
  <c r="T23" i="185"/>
  <c r="S23" i="185"/>
  <c r="R23" i="185"/>
  <c r="Q23" i="185"/>
  <c r="P23" i="185"/>
  <c r="O23" i="185"/>
  <c r="T22" i="185"/>
  <c r="S22" i="185"/>
  <c r="R22" i="185"/>
  <c r="Q22" i="185"/>
  <c r="P22" i="185"/>
  <c r="O22" i="185"/>
  <c r="T21" i="185"/>
  <c r="S21" i="185"/>
  <c r="R21" i="185"/>
  <c r="Q21" i="185"/>
  <c r="P21" i="185"/>
  <c r="O21" i="185"/>
  <c r="T20" i="185"/>
  <c r="S20" i="185"/>
  <c r="R20" i="185"/>
  <c r="Q20" i="185"/>
  <c r="P20" i="185"/>
  <c r="O20" i="185"/>
  <c r="T19" i="185"/>
  <c r="S19" i="185"/>
  <c r="R19" i="185"/>
  <c r="Q19" i="185"/>
  <c r="P19" i="185"/>
  <c r="O19" i="185"/>
  <c r="T18" i="185"/>
  <c r="S18" i="185"/>
  <c r="R18" i="185"/>
  <c r="Q18" i="185"/>
  <c r="P18" i="185"/>
  <c r="O18" i="185"/>
  <c r="T17" i="185"/>
  <c r="S17" i="185"/>
  <c r="R17" i="185"/>
  <c r="Q17" i="185"/>
  <c r="P17" i="185"/>
  <c r="O17" i="185"/>
  <c r="T16" i="185"/>
  <c r="S16" i="185"/>
  <c r="R16" i="185"/>
  <c r="Q16" i="185"/>
  <c r="P16" i="185"/>
  <c r="O16" i="185"/>
  <c r="T15" i="185"/>
  <c r="S15" i="185"/>
  <c r="R15" i="185"/>
  <c r="Q15" i="185"/>
  <c r="P15" i="185"/>
  <c r="O15" i="185"/>
  <c r="T14" i="185"/>
  <c r="S14" i="185"/>
  <c r="R14" i="185"/>
  <c r="Q14" i="185"/>
  <c r="P14" i="185"/>
  <c r="O14" i="185"/>
  <c r="T13" i="185"/>
  <c r="S13" i="185"/>
  <c r="R13" i="185"/>
  <c r="Q13" i="185"/>
  <c r="P13" i="185"/>
  <c r="O13" i="185"/>
  <c r="T12" i="185"/>
  <c r="S12" i="185"/>
  <c r="R12" i="185"/>
  <c r="Q12" i="185"/>
  <c r="P12" i="185"/>
  <c r="O12" i="185"/>
  <c r="T11" i="185"/>
  <c r="S11" i="185"/>
  <c r="R11" i="185"/>
  <c r="Q11" i="185"/>
  <c r="P11" i="185"/>
  <c r="O11" i="185"/>
  <c r="T10" i="185"/>
  <c r="S10" i="185"/>
  <c r="R10" i="185"/>
  <c r="Q10" i="185"/>
  <c r="P10" i="185"/>
  <c r="O10" i="185"/>
  <c r="T9" i="185"/>
  <c r="S9" i="185"/>
  <c r="R9" i="185"/>
  <c r="Q9" i="185"/>
  <c r="P9" i="185"/>
  <c r="O9" i="185"/>
  <c r="T8" i="185"/>
  <c r="S8" i="185"/>
  <c r="R8" i="185"/>
  <c r="Q8" i="185"/>
  <c r="P8" i="185"/>
  <c r="O8" i="185"/>
  <c r="T7" i="185"/>
  <c r="S7" i="185"/>
  <c r="R7" i="185"/>
  <c r="Q7" i="185"/>
  <c r="P7" i="185"/>
  <c r="O7" i="185"/>
  <c r="T6" i="185"/>
  <c r="S6" i="185"/>
  <c r="R6" i="185"/>
  <c r="Q6" i="185"/>
  <c r="P6" i="185"/>
  <c r="O6" i="185"/>
  <c r="T5" i="185"/>
  <c r="S5" i="185"/>
  <c r="R5" i="185"/>
  <c r="Q5" i="185"/>
  <c r="P5" i="185"/>
  <c r="O5" i="185"/>
  <c r="T4" i="185"/>
  <c r="S4" i="185"/>
  <c r="R4" i="185"/>
  <c r="Q4" i="185"/>
  <c r="P4" i="185"/>
  <c r="O4" i="185"/>
  <c r="T3" i="185"/>
  <c r="S3" i="185"/>
  <c r="R3" i="185"/>
  <c r="Q3" i="185"/>
  <c r="P3" i="185"/>
  <c r="O3" i="185"/>
  <c r="T2" i="185"/>
  <c r="S2" i="185"/>
  <c r="R2" i="185"/>
  <c r="Q2" i="185"/>
  <c r="P2" i="185"/>
  <c r="M6" i="208"/>
  <c r="Q4" i="192"/>
  <c r="P8" i="214"/>
  <c r="R7" i="37"/>
  <c r="P3" i="213"/>
  <c r="L5" i="203"/>
  <c r="L7" i="200"/>
  <c r="O5" i="207"/>
  <c r="T9" i="206"/>
  <c r="P5" i="204"/>
  <c r="S4" i="206"/>
  <c r="M7" i="198"/>
  <c r="R2" i="200"/>
  <c r="L7" i="203"/>
  <c r="L10" i="203"/>
  <c r="S7" i="213"/>
  <c r="O2" i="204"/>
  <c r="R6" i="213"/>
  <c r="Q7" i="208"/>
  <c r="L9" i="202"/>
  <c r="U4" i="194"/>
  <c r="N6" i="203"/>
  <c r="S4" i="202"/>
  <c r="M3" i="212"/>
  <c r="S8" i="210"/>
  <c r="U5" i="212"/>
  <c r="M5" i="204"/>
  <c r="T6" i="192"/>
  <c r="L10" i="212"/>
  <c r="L6" i="201"/>
  <c r="U5" i="205"/>
  <c r="O10" i="204"/>
  <c r="T10" i="200"/>
  <c r="O8" i="211"/>
  <c r="L3" i="213"/>
  <c r="O7" i="212"/>
  <c r="N8" i="210"/>
  <c r="T5" i="209"/>
  <c r="T6" i="198"/>
  <c r="M10" i="193"/>
  <c r="R10" i="209"/>
  <c r="T8" i="208"/>
  <c r="O6" i="209"/>
  <c r="N3" i="208"/>
  <c r="T2" i="214"/>
  <c r="N4" i="196"/>
  <c r="M2" i="193"/>
  <c r="T8" i="204"/>
  <c r="M2" i="214"/>
  <c r="T4" i="196"/>
  <c r="L9" i="209"/>
  <c r="U6" i="204"/>
  <c r="P9" i="200"/>
  <c r="Q7" i="193"/>
  <c r="O6" i="214"/>
  <c r="M9" i="207"/>
  <c r="L8" i="214"/>
  <c r="S9" i="203"/>
  <c r="L7" i="199"/>
  <c r="O6" i="196"/>
  <c r="O3" i="212"/>
  <c r="T10" i="201"/>
  <c r="M10" i="206"/>
  <c r="Q5" i="204"/>
  <c r="S3" i="193"/>
  <c r="M10" i="207"/>
  <c r="P7" i="212"/>
  <c r="R9" i="208"/>
  <c r="U9" i="202"/>
  <c r="U9" i="212"/>
  <c r="R10" i="211"/>
  <c r="O9" i="212"/>
  <c r="M8" i="37"/>
  <c r="L10" i="206"/>
  <c r="Q8" i="198"/>
  <c r="S10" i="214"/>
  <c r="R5" i="212"/>
  <c r="N3" i="196"/>
  <c r="P2" i="214"/>
  <c r="N6" i="193"/>
  <c r="U6" i="214"/>
  <c r="R4" i="199"/>
  <c r="T9" i="37"/>
  <c r="P7" i="203"/>
  <c r="R8" i="207"/>
  <c r="U4" i="212"/>
  <c r="L6" i="199"/>
  <c r="U10" i="201"/>
  <c r="R2" i="199"/>
  <c r="L2" i="206"/>
  <c r="S9" i="210"/>
  <c r="R10" i="37"/>
  <c r="L9" i="214"/>
  <c r="L8" i="198"/>
  <c r="M7" i="193"/>
  <c r="T4" i="200"/>
  <c r="S3" i="202"/>
  <c r="M3" i="203"/>
  <c r="P5" i="208"/>
  <c r="O3" i="195"/>
  <c r="R3" i="212"/>
  <c r="L2" i="212"/>
  <c r="P10" i="212"/>
  <c r="Q4" i="214"/>
  <c r="Q6" i="191"/>
  <c r="R9" i="203"/>
  <c r="O3" i="211"/>
  <c r="O3" i="202"/>
  <c r="O2" i="201"/>
  <c r="P6" i="191"/>
  <c r="M2" i="194"/>
  <c r="Q6" i="200"/>
  <c r="P3" i="209"/>
  <c r="T4" i="193"/>
  <c r="Q9" i="202"/>
  <c r="T4" i="208"/>
  <c r="P5" i="196"/>
  <c r="P4" i="193"/>
  <c r="R3" i="210"/>
  <c r="M9" i="205"/>
  <c r="P5" i="194"/>
  <c r="Q7" i="37"/>
  <c r="R5" i="208"/>
  <c r="Q10" i="198"/>
  <c r="L10" i="201"/>
  <c r="U7" i="201"/>
  <c r="L8" i="210"/>
  <c r="U3" i="209"/>
  <c r="N4" i="202"/>
  <c r="N10" i="205"/>
  <c r="O4" i="37"/>
  <c r="S6" i="204"/>
  <c r="S2" i="203"/>
  <c r="Q5" i="209"/>
  <c r="R2" i="204"/>
  <c r="O6" i="193"/>
  <c r="M7" i="210"/>
  <c r="S6" i="37"/>
  <c r="O5" i="195"/>
  <c r="P9" i="193"/>
  <c r="N7" i="201"/>
  <c r="P6" i="198"/>
  <c r="N5" i="195"/>
  <c r="T6" i="214"/>
  <c r="N9" i="193"/>
  <c r="R10" i="205"/>
  <c r="M9" i="208"/>
  <c r="P4" i="208"/>
  <c r="M4" i="209"/>
  <c r="R3" i="200"/>
  <c r="U10" i="194"/>
  <c r="P4" i="212"/>
  <c r="S3" i="208"/>
  <c r="Q2" i="202"/>
  <c r="R5" i="202"/>
  <c r="U10" i="206"/>
  <c r="M4" i="191"/>
  <c r="T3" i="195"/>
  <c r="M2" i="203"/>
  <c r="U8" i="210"/>
  <c r="U6" i="198"/>
  <c r="L9" i="203"/>
  <c r="N5" i="213"/>
  <c r="Q4" i="202"/>
  <c r="U5" i="209"/>
  <c r="Q4" i="209"/>
  <c r="S3" i="205"/>
  <c r="L6" i="195"/>
  <c r="Q9" i="208"/>
  <c r="R5" i="201"/>
  <c r="T4" i="205"/>
  <c r="S4" i="200"/>
  <c r="L3" i="198"/>
  <c r="T8" i="202"/>
  <c r="N3" i="193"/>
  <c r="Q3" i="37"/>
  <c r="Q5" i="213"/>
  <c r="N3" i="202"/>
  <c r="Q6" i="206"/>
  <c r="P3" i="191"/>
  <c r="R2" i="209"/>
  <c r="L2" i="207"/>
  <c r="L2" i="200"/>
  <c r="S6" i="213"/>
  <c r="L2" i="202"/>
  <c r="O6" i="212"/>
  <c r="P3" i="205"/>
  <c r="M4" i="200"/>
  <c r="N7" i="209"/>
  <c r="O6" i="202"/>
  <c r="M3" i="209"/>
  <c r="R7" i="201"/>
  <c r="N5" i="210"/>
  <c r="N9" i="194"/>
  <c r="Q3" i="209"/>
  <c r="S3" i="198"/>
  <c r="Q5" i="207"/>
  <c r="R7" i="192"/>
  <c r="T9" i="191"/>
  <c r="P7" i="206"/>
  <c r="N9" i="196"/>
  <c r="T5" i="195"/>
  <c r="R2" i="192"/>
  <c r="O10" i="212"/>
  <c r="O8" i="191"/>
  <c r="Q2" i="201"/>
  <c r="Q6" i="199"/>
  <c r="N5" i="206"/>
  <c r="N8" i="214"/>
  <c r="P9" i="199"/>
  <c r="U5" i="198"/>
  <c r="O8" i="205"/>
  <c r="M3" i="193"/>
  <c r="R6" i="209"/>
  <c r="T2" i="37"/>
  <c r="T5" i="191"/>
  <c r="U7" i="206"/>
  <c r="Q5" i="212"/>
  <c r="N2" i="191"/>
  <c r="T7" i="214"/>
  <c r="M8" i="192"/>
  <c r="U5" i="200"/>
  <c r="R4" i="202"/>
  <c r="L8" i="200"/>
  <c r="Q9" i="211"/>
  <c r="S8" i="201"/>
  <c r="M4" i="193"/>
  <c r="P4" i="192"/>
  <c r="L6" i="206"/>
  <c r="O9" i="204"/>
  <c r="T8" i="200"/>
  <c r="P9" i="209"/>
  <c r="M2" i="212"/>
  <c r="O10" i="209"/>
  <c r="L8" i="213"/>
  <c r="P4" i="206"/>
  <c r="Q7" i="192"/>
  <c r="L2" i="199"/>
  <c r="U4" i="203"/>
  <c r="T9" i="192"/>
  <c r="T6" i="208"/>
  <c r="M7" i="207"/>
  <c r="O7" i="213"/>
  <c r="Q7" i="195"/>
  <c r="O2" i="193"/>
  <c r="R2" i="210"/>
  <c r="Q10" i="201"/>
  <c r="N3" i="207"/>
  <c r="Q7" i="202"/>
  <c r="O5" i="194"/>
  <c r="T4" i="206"/>
  <c r="U8" i="199"/>
  <c r="U4" i="195"/>
  <c r="L4" i="212"/>
  <c r="N3" i="201"/>
  <c r="N6" i="200"/>
  <c r="T6" i="213"/>
  <c r="P10" i="203"/>
  <c r="T4" i="194"/>
  <c r="O8" i="201"/>
  <c r="R10" i="214"/>
  <c r="N8" i="196"/>
  <c r="T8" i="201"/>
  <c r="M4" i="198"/>
  <c r="O10" i="199"/>
  <c r="Q8" i="210"/>
  <c r="N9" i="213"/>
  <c r="N4" i="212"/>
  <c r="Q5" i="195"/>
  <c r="R6" i="198"/>
  <c r="S2" i="200"/>
  <c r="M4" i="203"/>
  <c r="T2" i="209"/>
  <c r="M4" i="195"/>
  <c r="S10" i="199"/>
  <c r="U7" i="208"/>
  <c r="M2" i="207"/>
  <c r="M8" i="194"/>
  <c r="N9" i="206"/>
  <c r="L5" i="196"/>
  <c r="P10" i="191"/>
  <c r="T7" i="206"/>
  <c r="S9" i="202"/>
  <c r="Q5" i="196"/>
  <c r="N3" i="212"/>
  <c r="T7" i="201"/>
  <c r="L3" i="194"/>
  <c r="L4" i="195"/>
  <c r="N3" i="213"/>
  <c r="U4" i="202"/>
  <c r="P4" i="201"/>
  <c r="L7" i="196"/>
  <c r="T9" i="201"/>
  <c r="U7" i="205"/>
  <c r="Q7" i="194"/>
  <c r="O3" i="200"/>
  <c r="N2" i="199"/>
  <c r="R9" i="198"/>
  <c r="R3" i="194"/>
  <c r="P7" i="209"/>
  <c r="O6" i="37"/>
  <c r="M5" i="194"/>
  <c r="Q9" i="195"/>
  <c r="S4" i="199"/>
  <c r="S3" i="210"/>
  <c r="L5" i="208"/>
  <c r="R2" i="195"/>
  <c r="P2" i="205"/>
  <c r="L5" i="205"/>
  <c r="Q10" i="191"/>
  <c r="S6" i="205"/>
  <c r="T7" i="196"/>
  <c r="M7" i="206"/>
  <c r="O6" i="210"/>
  <c r="M5" i="193"/>
  <c r="P4" i="210"/>
  <c r="S7" i="205"/>
  <c r="M6" i="200"/>
  <c r="O10" i="200"/>
  <c r="L3" i="204"/>
  <c r="S3" i="213"/>
  <c r="L2" i="211"/>
  <c r="T3" i="212"/>
  <c r="S7" i="194"/>
  <c r="L7" i="192"/>
  <c r="U7" i="191"/>
  <c r="T5" i="210"/>
  <c r="T10" i="205"/>
  <c r="S7" i="202"/>
  <c r="R2" i="206"/>
  <c r="O3" i="207"/>
  <c r="P10" i="202"/>
  <c r="R10" i="203"/>
  <c r="Q7" i="214"/>
  <c r="U3" i="203"/>
  <c r="O6" i="198"/>
  <c r="O10" i="205"/>
  <c r="T5" i="212"/>
  <c r="P2" i="37"/>
  <c r="S10" i="192"/>
  <c r="U3" i="213"/>
  <c r="Q5" i="205"/>
  <c r="S4" i="207"/>
  <c r="O9" i="196"/>
  <c r="R9" i="199"/>
  <c r="O6" i="204"/>
  <c r="R8" i="208"/>
  <c r="N6" i="37"/>
  <c r="Q2" i="206"/>
  <c r="U9" i="37"/>
  <c r="O4" i="212"/>
  <c r="T2" i="191"/>
  <c r="T2" i="202"/>
  <c r="N10" i="200"/>
  <c r="T7" i="210"/>
  <c r="L7" i="214"/>
  <c r="U10" i="195"/>
  <c r="T8" i="211"/>
  <c r="O3" i="210"/>
  <c r="N7" i="208"/>
  <c r="L7" i="211"/>
  <c r="R8" i="213"/>
  <c r="Q9" i="193"/>
  <c r="O9" i="213"/>
  <c r="O10" i="195"/>
  <c r="U7" i="194"/>
  <c r="Q9" i="194"/>
  <c r="S3" i="201"/>
  <c r="O8" i="213"/>
  <c r="Q8" i="205"/>
  <c r="R3" i="204"/>
  <c r="O8" i="198"/>
  <c r="T7" i="212"/>
  <c r="N8" i="194"/>
  <c r="L10" i="200"/>
  <c r="Q3" i="192"/>
  <c r="T6" i="201"/>
  <c r="M3" i="213"/>
  <c r="L8" i="192"/>
  <c r="Q5" i="191"/>
  <c r="U5" i="211"/>
  <c r="T4" i="198"/>
  <c r="P4" i="214"/>
  <c r="P9" i="207"/>
  <c r="L3" i="203"/>
  <c r="Q4" i="204"/>
  <c r="L6" i="208"/>
  <c r="N8" i="209"/>
  <c r="T10" i="195"/>
  <c r="S10" i="198"/>
  <c r="O4" i="204"/>
  <c r="Q3" i="196"/>
  <c r="L6" i="203"/>
  <c r="L10" i="209"/>
  <c r="M7" i="202"/>
  <c r="U6" i="192"/>
  <c r="Q4" i="210"/>
  <c r="L3" i="214"/>
  <c r="T6" i="210"/>
  <c r="L2" i="191"/>
  <c r="P5" i="213"/>
  <c r="M7" i="211"/>
  <c r="M6" i="207"/>
  <c r="M3" i="195"/>
  <c r="O6" i="213"/>
  <c r="O9" i="192"/>
  <c r="P5" i="200"/>
  <c r="M7" i="208"/>
  <c r="U7" i="209"/>
  <c r="U6" i="194"/>
  <c r="O6" i="200"/>
  <c r="M4" i="212"/>
  <c r="M2" i="37"/>
  <c r="O2" i="194"/>
  <c r="R5" i="204"/>
  <c r="L5" i="209"/>
  <c r="R5" i="207"/>
  <c r="P3" i="198"/>
  <c r="R6" i="203"/>
  <c r="O10" i="198"/>
  <c r="Q8" i="194"/>
  <c r="M10" i="212"/>
  <c r="N5" i="202"/>
  <c r="Q7" i="211"/>
  <c r="U3" i="201"/>
  <c r="R9" i="204"/>
  <c r="M10" i="191"/>
  <c r="O7" i="195"/>
  <c r="N6" i="192"/>
  <c r="M10" i="205"/>
  <c r="S5" i="198"/>
  <c r="O10" i="196"/>
  <c r="T5" i="214"/>
  <c r="Q5" i="37"/>
  <c r="Q7" i="212"/>
  <c r="P5" i="198"/>
  <c r="R5" i="206"/>
  <c r="S8" i="200"/>
  <c r="L10" i="195"/>
  <c r="N9" i="211"/>
  <c r="M9" i="191"/>
  <c r="L4" i="205"/>
  <c r="S8" i="191"/>
  <c r="M3" i="191"/>
  <c r="O10" i="210"/>
  <c r="M3" i="214"/>
  <c r="U9" i="203"/>
  <c r="S10" i="212"/>
  <c r="U5" i="208"/>
  <c r="R9" i="196"/>
  <c r="U3" i="207"/>
  <c r="O3" i="201"/>
  <c r="R8" i="196"/>
  <c r="R9" i="191"/>
  <c r="P3" i="212"/>
  <c r="T8" i="37"/>
  <c r="P6" i="192"/>
  <c r="Q9" i="206"/>
  <c r="L10" i="198"/>
  <c r="Q10" i="209"/>
  <c r="N5" i="193"/>
  <c r="M8" i="209"/>
  <c r="M10" i="37"/>
  <c r="O7" i="199"/>
  <c r="U3" i="205"/>
  <c r="P5" i="202"/>
  <c r="T10" i="196"/>
  <c r="O9" i="202"/>
  <c r="M5" i="208"/>
  <c r="U6" i="196"/>
  <c r="S6" i="207"/>
  <c r="P7" i="198"/>
  <c r="N10" i="195"/>
  <c r="Q2" i="214"/>
  <c r="Q9" i="214"/>
  <c r="R10" i="191"/>
  <c r="S10" i="200"/>
  <c r="L7" i="213"/>
  <c r="M3" i="192"/>
  <c r="O2" i="212"/>
  <c r="R3" i="195"/>
  <c r="N8" i="205"/>
  <c r="U10" i="37"/>
  <c r="P7" i="205"/>
  <c r="Q8" i="204"/>
  <c r="N2" i="213"/>
  <c r="Q2" i="196"/>
  <c r="O2" i="205"/>
  <c r="P3" i="201"/>
  <c r="P7" i="199"/>
  <c r="O6" i="194"/>
  <c r="L10" i="194"/>
  <c r="Q9" i="209"/>
  <c r="S3" i="195"/>
  <c r="U3" i="212"/>
  <c r="P6" i="199"/>
  <c r="L5" i="198"/>
  <c r="U2" i="195"/>
  <c r="M9" i="194"/>
  <c r="P8" i="207"/>
  <c r="O3" i="199"/>
  <c r="O2" i="192"/>
  <c r="N4" i="37"/>
  <c r="Q7" i="210"/>
  <c r="S4" i="193"/>
  <c r="M6" i="211"/>
  <c r="P3" i="193"/>
  <c r="P3" i="207"/>
  <c r="P6" i="206"/>
  <c r="O9" i="200"/>
  <c r="L6" i="209"/>
  <c r="U4" i="207"/>
  <c r="T2" i="204"/>
  <c r="P9" i="211"/>
  <c r="Q3" i="203"/>
  <c r="N10" i="201"/>
  <c r="Q6" i="202"/>
  <c r="O6" i="205"/>
  <c r="P6" i="201"/>
  <c r="Q6" i="192"/>
  <c r="T7" i="211"/>
  <c r="N10" i="199"/>
  <c r="N7" i="192"/>
  <c r="L7" i="202"/>
  <c r="N9" i="201"/>
  <c r="L9" i="211"/>
  <c r="P7" i="214"/>
  <c r="M10" i="214"/>
  <c r="U2" i="203"/>
  <c r="U5" i="210"/>
  <c r="T5" i="207"/>
  <c r="P4" i="205"/>
  <c r="P2" i="203"/>
  <c r="S5" i="205"/>
  <c r="O9" i="203"/>
  <c r="Q3" i="194"/>
  <c r="O3" i="191"/>
  <c r="N7" i="194"/>
  <c r="N3" i="203"/>
  <c r="P5" i="192"/>
  <c r="U5" i="193"/>
  <c r="L8" i="206"/>
  <c r="N6" i="198"/>
  <c r="R8" i="210"/>
  <c r="L6" i="210"/>
  <c r="O10" i="193"/>
  <c r="L10" i="208"/>
  <c r="Q7" i="207"/>
  <c r="U3" i="211"/>
  <c r="M2" i="213"/>
  <c r="U7" i="198"/>
  <c r="L7" i="204"/>
  <c r="U2" i="207"/>
  <c r="N3" i="214"/>
  <c r="M3" i="211"/>
  <c r="R2" i="202"/>
  <c r="S6" i="198"/>
  <c r="R3" i="209"/>
  <c r="N10" i="191"/>
  <c r="N9" i="210"/>
  <c r="M10" i="200"/>
  <c r="O3" i="196"/>
  <c r="Q8" i="193"/>
  <c r="R7" i="205"/>
  <c r="L8" i="209"/>
  <c r="Q4" i="206"/>
  <c r="T3" i="37"/>
  <c r="S5" i="192"/>
  <c r="P2" i="198"/>
  <c r="L2" i="210"/>
  <c r="S2" i="195"/>
  <c r="N7" i="207"/>
  <c r="Q7" i="204"/>
  <c r="Q5" i="210"/>
  <c r="R6" i="201"/>
  <c r="P3" i="211"/>
  <c r="L9" i="191"/>
  <c r="L4" i="194"/>
  <c r="L9" i="198"/>
  <c r="U8" i="206"/>
  <c r="Q7" i="191"/>
  <c r="T6" i="191"/>
  <c r="Q8" i="213"/>
  <c r="Q6" i="193"/>
  <c r="O5" i="196"/>
  <c r="U5" i="213"/>
  <c r="U5" i="199"/>
  <c r="T8" i="209"/>
  <c r="M7" i="201"/>
  <c r="N4" i="211"/>
  <c r="P4" i="207"/>
  <c r="P4" i="204"/>
  <c r="N5" i="196"/>
  <c r="M3" i="201"/>
  <c r="R5" i="37"/>
  <c r="T3" i="201"/>
  <c r="N5" i="204"/>
  <c r="R4" i="209"/>
  <c r="L5" i="213"/>
  <c r="T10" i="209"/>
  <c r="P8" i="194"/>
  <c r="S3" i="199"/>
  <c r="M7" i="200"/>
  <c r="O2" i="37"/>
  <c r="R6" i="205"/>
  <c r="Q3" i="208"/>
  <c r="U2" i="198"/>
  <c r="P10" i="205"/>
  <c r="S10" i="191"/>
  <c r="Q6" i="208"/>
  <c r="N9" i="37"/>
  <c r="P6" i="212"/>
  <c r="M9" i="196"/>
  <c r="O2" i="214"/>
  <c r="L4" i="198"/>
  <c r="N8" i="37"/>
  <c r="R9" i="202"/>
  <c r="P8" i="200"/>
  <c r="O2" i="199"/>
  <c r="R7" i="198"/>
  <c r="S9" i="205"/>
  <c r="Q4" i="196"/>
  <c r="P5" i="207"/>
  <c r="R8" i="214"/>
  <c r="M2" i="205"/>
  <c r="P9" i="210"/>
  <c r="P4" i="198"/>
  <c r="M9" i="37"/>
  <c r="N8" i="208"/>
  <c r="R7" i="200"/>
  <c r="T4" i="214"/>
  <c r="O7" i="198"/>
  <c r="U9" i="191"/>
  <c r="L10" i="192"/>
  <c r="S8" i="196"/>
  <c r="L2" i="208"/>
  <c r="R8" i="194"/>
  <c r="U10" i="196"/>
  <c r="T2" i="211"/>
  <c r="S4" i="192"/>
  <c r="M8" i="195"/>
  <c r="S8" i="207"/>
  <c r="S2" i="212"/>
  <c r="O4" i="191"/>
  <c r="U10" i="208"/>
  <c r="P10" i="214"/>
  <c r="S7" i="204"/>
  <c r="P9" i="196"/>
  <c r="T4" i="203"/>
  <c r="R4" i="193"/>
  <c r="O10" i="191"/>
  <c r="N6" i="208"/>
  <c r="M6" i="214"/>
  <c r="Q5" i="202"/>
  <c r="Q2" i="195"/>
  <c r="M7" i="192"/>
  <c r="O9" i="37"/>
  <c r="L10" i="207"/>
  <c r="O6" i="201"/>
  <c r="R5" i="194"/>
  <c r="N2" i="198"/>
  <c r="Q3" i="206"/>
  <c r="P8" i="192"/>
  <c r="Q2" i="198"/>
  <c r="N3" i="211"/>
  <c r="Q9" i="198"/>
  <c r="T7" i="194"/>
  <c r="N7" i="211"/>
  <c r="T3" i="200"/>
  <c r="T9" i="196"/>
  <c r="O7" i="204"/>
  <c r="T9" i="210"/>
  <c r="S8" i="192"/>
  <c r="N6" i="199"/>
  <c r="U4" i="205"/>
  <c r="U10" i="198"/>
  <c r="U10" i="191"/>
  <c r="M9" i="211"/>
  <c r="N6" i="207"/>
  <c r="L5" i="210"/>
  <c r="N7" i="199"/>
  <c r="U7" i="207"/>
  <c r="T8" i="192"/>
  <c r="Q6" i="214"/>
  <c r="R5" i="211"/>
  <c r="O8" i="206"/>
  <c r="O6" i="191"/>
  <c r="U10" i="192"/>
  <c r="P7" i="37"/>
  <c r="M8" i="200"/>
  <c r="P8" i="191"/>
  <c r="P2" i="213"/>
  <c r="T5" i="196"/>
  <c r="P8" i="204"/>
  <c r="P4" i="194"/>
  <c r="L8" i="37"/>
  <c r="U7" i="203"/>
  <c r="N6" i="205"/>
  <c r="U7" i="195"/>
  <c r="T4" i="211"/>
  <c r="P9" i="202"/>
  <c r="T4" i="204"/>
  <c r="M10" i="213"/>
  <c r="L10" i="204"/>
  <c r="L5" i="193"/>
  <c r="R3" i="193"/>
  <c r="L3" i="193"/>
  <c r="T10" i="194"/>
  <c r="U6" i="37"/>
  <c r="O3" i="193"/>
  <c r="O4" i="199"/>
  <c r="U10" i="193"/>
  <c r="S7" i="200"/>
  <c r="L4" i="209"/>
  <c r="L4" i="192"/>
  <c r="Q9" i="204"/>
  <c r="S2" i="201"/>
  <c r="R6" i="191"/>
  <c r="U5" i="37"/>
  <c r="N2" i="209"/>
  <c r="R7" i="195"/>
  <c r="O7" i="200"/>
  <c r="U9" i="201"/>
  <c r="Q8" i="199"/>
  <c r="U9" i="211"/>
  <c r="U4" i="193"/>
  <c r="R6" i="202"/>
  <c r="R5" i="210"/>
  <c r="R7" i="212"/>
  <c r="U5" i="214"/>
  <c r="S7" i="207"/>
  <c r="L9" i="205"/>
  <c r="U9" i="194"/>
  <c r="Q3" i="191"/>
  <c r="R8" i="195"/>
  <c r="T3" i="202"/>
  <c r="R7" i="202"/>
  <c r="L8" i="195"/>
  <c r="O8" i="200"/>
  <c r="U10" i="212"/>
  <c r="S2" i="204"/>
  <c r="S5" i="212"/>
  <c r="S8" i="212"/>
  <c r="L2" i="198"/>
  <c r="P2" i="208"/>
  <c r="L5" i="214"/>
  <c r="L10" i="193"/>
  <c r="T4" i="207"/>
  <c r="O9" i="195"/>
  <c r="N7" i="202"/>
  <c r="L2" i="195"/>
  <c r="P4" i="196"/>
  <c r="Q2" i="193"/>
  <c r="O3" i="194"/>
  <c r="Q3" i="193"/>
  <c r="L10" i="191"/>
  <c r="R8" i="211"/>
  <c r="T8" i="196"/>
  <c r="M5" i="198"/>
  <c r="M9" i="210"/>
  <c r="O4" i="213"/>
  <c r="U7" i="192"/>
  <c r="O9" i="211"/>
  <c r="T2" i="207"/>
  <c r="U2" i="209"/>
  <c r="N5" i="191"/>
  <c r="P10" i="213"/>
  <c r="U7" i="200"/>
  <c r="P9" i="206"/>
  <c r="U8" i="200"/>
  <c r="S5" i="201"/>
  <c r="T10" i="213"/>
  <c r="M4" i="213"/>
  <c r="S3" i="211"/>
  <c r="T8" i="191"/>
  <c r="L5" i="201"/>
  <c r="M3" i="210"/>
  <c r="P4" i="200"/>
  <c r="Q5" i="203"/>
  <c r="U4" i="191"/>
  <c r="P6" i="211"/>
  <c r="O3" i="206"/>
  <c r="L8" i="202"/>
  <c r="U6" i="203"/>
  <c r="L6" i="202"/>
  <c r="S2" i="192"/>
  <c r="Q2" i="204"/>
  <c r="P7" i="193"/>
  <c r="M6" i="212"/>
  <c r="S9" i="206"/>
  <c r="T7" i="192"/>
  <c r="T2" i="210"/>
  <c r="U3" i="194"/>
  <c r="U9" i="209"/>
  <c r="P2" i="212"/>
  <c r="M2" i="192"/>
  <c r="O3" i="208"/>
  <c r="N2" i="203"/>
  <c r="R2" i="201"/>
  <c r="S8" i="203"/>
  <c r="Q7" i="198"/>
  <c r="O10" i="208"/>
  <c r="S2" i="205"/>
  <c r="P5" i="201"/>
  <c r="R7" i="204"/>
  <c r="R2" i="37"/>
  <c r="U6" i="209"/>
  <c r="P6" i="202"/>
  <c r="P5" i="206"/>
  <c r="Q3" i="213"/>
  <c r="S6" i="209"/>
  <c r="L6" i="214"/>
  <c r="L8" i="211"/>
  <c r="P9" i="198"/>
  <c r="R7" i="214"/>
  <c r="U10" i="204"/>
  <c r="Q2" i="208"/>
  <c r="M6" i="201"/>
  <c r="T4" i="210"/>
  <c r="M8" i="205"/>
  <c r="T8" i="203"/>
  <c r="M6" i="210"/>
  <c r="L4" i="207"/>
  <c r="Q5" i="206"/>
  <c r="R7" i="193"/>
  <c r="S2" i="207"/>
  <c r="N2" i="212"/>
  <c r="P6" i="194"/>
  <c r="U7" i="196"/>
  <c r="Q8" i="211"/>
  <c r="P5" i="214"/>
  <c r="U7" i="214"/>
  <c r="N5" i="205"/>
  <c r="U4" i="192"/>
  <c r="R6" i="211"/>
  <c r="M7" i="212"/>
  <c r="S5" i="206"/>
  <c r="P4" i="202"/>
  <c r="M3" i="198"/>
  <c r="P2" i="210"/>
  <c r="U3" i="192"/>
  <c r="T6" i="205"/>
  <c r="R7" i="194"/>
  <c r="O10" i="207"/>
  <c r="U8" i="204"/>
  <c r="N2" i="204"/>
  <c r="O8" i="207"/>
  <c r="S9" i="208"/>
  <c r="Q3" i="205"/>
  <c r="P3" i="195"/>
  <c r="M6" i="199"/>
  <c r="L5" i="192"/>
  <c r="S2" i="199"/>
  <c r="P8" i="193"/>
  <c r="T10" i="214"/>
  <c r="L10" i="211"/>
  <c r="M7" i="199"/>
  <c r="O5" i="37"/>
  <c r="L4" i="213"/>
  <c r="S8" i="202"/>
  <c r="O2" i="203"/>
  <c r="S9" i="199"/>
  <c r="T5" i="213"/>
  <c r="N2" i="37"/>
  <c r="U2" i="192"/>
  <c r="R6" i="192"/>
  <c r="O2" i="213"/>
  <c r="R8" i="193"/>
  <c r="S2" i="214"/>
  <c r="L8" i="194"/>
  <c r="T7" i="200"/>
  <c r="T3" i="213"/>
  <c r="Q10" i="192"/>
  <c r="R9" i="207"/>
  <c r="T3" i="208"/>
  <c r="P3" i="196"/>
  <c r="R9" i="210"/>
  <c r="U6" i="208"/>
  <c r="T6" i="194"/>
  <c r="R7" i="207"/>
  <c r="Q4" i="207"/>
  <c r="P10" i="196"/>
  <c r="Q6" i="212"/>
  <c r="T6" i="202"/>
  <c r="N5" i="207"/>
  <c r="Q3" i="204"/>
  <c r="M2" i="206"/>
  <c r="P3" i="206"/>
  <c r="Q5" i="199"/>
  <c r="R2" i="213"/>
  <c r="M9" i="200"/>
  <c r="L3" i="196"/>
  <c r="S3" i="207"/>
  <c r="U8" i="202"/>
  <c r="R9" i="200"/>
  <c r="P5" i="195"/>
  <c r="M4" i="199"/>
  <c r="T3" i="205"/>
  <c r="Q10" i="193"/>
  <c r="U2" i="196"/>
  <c r="P8" i="201"/>
  <c r="Q9" i="200"/>
  <c r="Q8" i="196"/>
  <c r="O3" i="203"/>
  <c r="N10" i="208"/>
  <c r="U9" i="199"/>
  <c r="Q4" i="205"/>
  <c r="S3" i="206"/>
  <c r="S8" i="206"/>
  <c r="R2" i="203"/>
  <c r="S5" i="195"/>
  <c r="N3" i="210"/>
  <c r="P4" i="191"/>
  <c r="S9" i="200"/>
  <c r="M9" i="204"/>
  <c r="P7" i="204"/>
  <c r="P4" i="203"/>
  <c r="R5" i="198"/>
  <c r="T8" i="194"/>
  <c r="U4" i="37"/>
  <c r="M4" i="210"/>
  <c r="S5" i="193"/>
  <c r="N9" i="200"/>
  <c r="Q7" i="196"/>
  <c r="P3" i="202"/>
  <c r="N2" i="214"/>
  <c r="Q5" i="201"/>
  <c r="S6" i="212"/>
  <c r="R3" i="202"/>
  <c r="O7" i="201"/>
  <c r="U3" i="37"/>
  <c r="Q10" i="208"/>
  <c r="M5" i="205"/>
  <c r="L3" i="211"/>
  <c r="U3" i="200"/>
  <c r="L9" i="213"/>
  <c r="O2" i="198"/>
  <c r="O3" i="213"/>
  <c r="U3" i="199"/>
  <c r="L3" i="210"/>
  <c r="R10" i="207"/>
  <c r="R5" i="200"/>
  <c r="Q10" i="200"/>
  <c r="U3" i="202"/>
  <c r="O4" i="194"/>
  <c r="U9" i="208"/>
  <c r="O8" i="208"/>
  <c r="O10" i="203"/>
  <c r="L6" i="196"/>
  <c r="M6" i="205"/>
  <c r="R4" i="208"/>
  <c r="T5" i="198"/>
  <c r="O3" i="204"/>
  <c r="R9" i="209"/>
  <c r="R3" i="214"/>
  <c r="S7" i="198"/>
  <c r="R9" i="201"/>
  <c r="Q8" i="203"/>
  <c r="R4" i="210"/>
  <c r="T6" i="211"/>
  <c r="N9" i="209"/>
  <c r="N10" i="198"/>
  <c r="L8" i="193"/>
  <c r="N3" i="37"/>
  <c r="R3" i="199"/>
  <c r="Q10" i="207"/>
  <c r="O7" i="208"/>
  <c r="U9" i="204"/>
  <c r="N7" i="193"/>
  <c r="L3" i="209"/>
  <c r="M5" i="200"/>
  <c r="Q7" i="200"/>
  <c r="S9" i="213"/>
  <c r="S3" i="204"/>
  <c r="L9" i="206"/>
  <c r="T5" i="37"/>
  <c r="O4" i="205"/>
  <c r="Q4" i="199"/>
  <c r="Q5" i="200"/>
  <c r="O7" i="207"/>
  <c r="R3" i="196"/>
  <c r="P7" i="200"/>
  <c r="L9" i="37"/>
  <c r="M10" i="210"/>
  <c r="L4" i="196"/>
  <c r="T3" i="214"/>
  <c r="S8" i="204"/>
  <c r="Q6" i="201"/>
  <c r="Q9" i="196"/>
  <c r="O7" i="192"/>
  <c r="S6" i="192"/>
  <c r="U9" i="205"/>
  <c r="N4" i="198"/>
  <c r="M6" i="194"/>
  <c r="T5" i="199"/>
  <c r="S10" i="37"/>
  <c r="N7" i="204"/>
  <c r="N10" i="37"/>
  <c r="L4" i="206"/>
  <c r="L9" i="194"/>
  <c r="S9" i="191"/>
  <c r="L7" i="212"/>
  <c r="T10" i="212"/>
  <c r="P5" i="212"/>
  <c r="S2" i="196"/>
  <c r="L3" i="195"/>
  <c r="N7" i="198"/>
  <c r="U2" i="194"/>
  <c r="L3" i="199"/>
  <c r="S9" i="212"/>
  <c r="Q10" i="210"/>
  <c r="S3" i="203"/>
  <c r="P6" i="208"/>
  <c r="N6" i="194"/>
  <c r="M7" i="196"/>
  <c r="R6" i="214"/>
  <c r="N6" i="196"/>
  <c r="L8" i="205"/>
  <c r="P5" i="199"/>
  <c r="M7" i="213"/>
  <c r="T2" i="192"/>
  <c r="L5" i="37"/>
  <c r="R8" i="199"/>
  <c r="L8" i="199"/>
  <c r="R8" i="201"/>
  <c r="U7" i="199"/>
  <c r="L2" i="192"/>
  <c r="N2" i="195"/>
  <c r="S5" i="199"/>
  <c r="Q10" i="214"/>
  <c r="Q3" i="214"/>
  <c r="M2" i="210"/>
  <c r="Q3" i="210"/>
  <c r="O7" i="209"/>
  <c r="S4" i="198"/>
  <c r="U5" i="201"/>
  <c r="R9" i="37"/>
  <c r="U7" i="202"/>
  <c r="R6" i="199"/>
  <c r="T8" i="210"/>
  <c r="P9" i="195"/>
  <c r="M10" i="211"/>
  <c r="Q3" i="201"/>
  <c r="T10" i="207"/>
  <c r="L7" i="198"/>
  <c r="R4" i="201"/>
  <c r="P2" i="201"/>
  <c r="M5" i="37"/>
  <c r="P3" i="203"/>
  <c r="T9" i="198"/>
  <c r="O3" i="198"/>
  <c r="N8" i="199"/>
  <c r="M8" i="207"/>
  <c r="M8" i="191"/>
  <c r="Q4" i="191"/>
  <c r="P6" i="203"/>
  <c r="R8" i="192"/>
  <c r="U2" i="201"/>
  <c r="R4" i="191"/>
  <c r="P8" i="199"/>
  <c r="S2" i="194"/>
  <c r="R6" i="207"/>
  <c r="M9" i="201"/>
  <c r="S5" i="207"/>
  <c r="Q5" i="214"/>
  <c r="Q4" i="37"/>
  <c r="T5" i="205"/>
  <c r="U7" i="210"/>
  <c r="Q6" i="207"/>
  <c r="S3" i="200"/>
  <c r="L3" i="202"/>
  <c r="R5" i="193"/>
  <c r="P9" i="213"/>
  <c r="S9" i="194"/>
  <c r="Q6" i="204"/>
  <c r="P4" i="209"/>
  <c r="R7" i="213"/>
  <c r="U10" i="211"/>
  <c r="N9" i="199"/>
  <c r="O6" i="207"/>
  <c r="O5" i="198"/>
  <c r="S10" i="201"/>
  <c r="O5" i="199"/>
  <c r="P8" i="210"/>
  <c r="T7" i="203"/>
  <c r="U4" i="206"/>
  <c r="T2" i="203"/>
  <c r="O6" i="206"/>
  <c r="S7" i="212"/>
  <c r="R6" i="200"/>
  <c r="R6" i="204"/>
  <c r="N7" i="212"/>
  <c r="L5" i="212"/>
  <c r="N10" i="209"/>
  <c r="T9" i="194"/>
  <c r="M7" i="203"/>
  <c r="T6" i="207"/>
  <c r="Q8" i="202"/>
  <c r="S6" i="210"/>
  <c r="L8" i="212"/>
  <c r="N6" i="202"/>
  <c r="T10" i="198"/>
  <c r="T9" i="213"/>
  <c r="R6" i="212"/>
  <c r="Q7" i="205"/>
  <c r="M2" i="191"/>
  <c r="L4" i="193"/>
  <c r="O6" i="199"/>
  <c r="O4" i="192"/>
  <c r="P10" i="207"/>
  <c r="N9" i="203"/>
  <c r="U6" i="210"/>
  <c r="N4" i="200"/>
  <c r="Q4" i="194"/>
  <c r="O3" i="192"/>
  <c r="M4" i="211"/>
  <c r="R6" i="208"/>
  <c r="U4" i="198"/>
  <c r="L5" i="199"/>
  <c r="O2" i="211"/>
  <c r="R8" i="37"/>
  <c r="T4" i="213"/>
  <c r="U10" i="205"/>
  <c r="O7" i="37"/>
  <c r="U4" i="199"/>
  <c r="R8" i="191"/>
  <c r="Q2" i="37"/>
  <c r="U8" i="213"/>
  <c r="R5" i="214"/>
  <c r="P9" i="192"/>
  <c r="U6" i="213"/>
  <c r="L6" i="213"/>
  <c r="S3" i="214"/>
  <c r="U6" i="202"/>
  <c r="T2" i="195"/>
  <c r="P2" i="204"/>
  <c r="U9" i="214"/>
  <c r="P10" i="206"/>
  <c r="T3" i="210"/>
  <c r="Q4" i="203"/>
  <c r="N6" i="195"/>
  <c r="O8" i="209"/>
  <c r="S4" i="205"/>
  <c r="N4" i="214"/>
  <c r="S4" i="210"/>
  <c r="S5" i="204"/>
  <c r="R10" i="192"/>
  <c r="L7" i="207"/>
  <c r="L6" i="37"/>
  <c r="Q10" i="205"/>
  <c r="S7" i="192"/>
  <c r="T7" i="191"/>
  <c r="N10" i="203"/>
  <c r="M2" i="200"/>
  <c r="S4" i="201"/>
  <c r="L3" i="200"/>
  <c r="N3" i="199"/>
  <c r="N9" i="191"/>
  <c r="P3" i="204"/>
  <c r="L7" i="191"/>
  <c r="O4" i="195"/>
  <c r="R4" i="213"/>
  <c r="T7" i="207"/>
  <c r="U3" i="196"/>
  <c r="L2" i="203"/>
  <c r="L10" i="214"/>
  <c r="Q2" i="200"/>
  <c r="L6" i="194"/>
  <c r="P2" i="207"/>
  <c r="P10" i="200"/>
  <c r="T4" i="191"/>
  <c r="U2" i="193"/>
  <c r="P8" i="209"/>
  <c r="N6" i="206"/>
  <c r="R7" i="199"/>
  <c r="T6" i="200"/>
  <c r="U4" i="200"/>
  <c r="R3" i="192"/>
  <c r="S3" i="192"/>
  <c r="M6" i="198"/>
  <c r="P6" i="207"/>
  <c r="N3" i="191"/>
  <c r="M3" i="208"/>
  <c r="R3" i="203"/>
  <c r="N8" i="213"/>
  <c r="M9" i="206"/>
  <c r="O9" i="214"/>
  <c r="U6" i="201"/>
  <c r="T3" i="209"/>
  <c r="T10" i="199"/>
  <c r="O9" i="201"/>
  <c r="S8" i="195"/>
  <c r="L9" i="208"/>
  <c r="L5" i="207"/>
  <c r="R9" i="195"/>
  <c r="R8" i="202"/>
  <c r="N5" i="192"/>
  <c r="O7" i="205"/>
  <c r="Q6" i="194"/>
  <c r="T2" i="206"/>
  <c r="S8" i="209"/>
  <c r="R3" i="206"/>
  <c r="N7" i="210"/>
  <c r="Q4" i="195"/>
  <c r="N2" i="210"/>
  <c r="R10" i="196"/>
  <c r="M10" i="194"/>
  <c r="R7" i="203"/>
  <c r="O8" i="195"/>
  <c r="Q7" i="213"/>
  <c r="S5" i="191"/>
  <c r="N9" i="208"/>
  <c r="R7" i="191"/>
  <c r="O2" i="195"/>
  <c r="P6" i="214"/>
  <c r="S7" i="210"/>
  <c r="M7" i="37"/>
  <c r="M6" i="202"/>
  <c r="N6" i="211"/>
  <c r="R4" i="37"/>
  <c r="P10" i="193"/>
  <c r="N8" i="191"/>
  <c r="M2" i="202"/>
  <c r="T9" i="193"/>
  <c r="N5" i="214"/>
  <c r="Q8" i="195"/>
  <c r="M8" i="204"/>
  <c r="P5" i="191"/>
  <c r="T3" i="204"/>
  <c r="Q3" i="211"/>
  <c r="T7" i="209"/>
  <c r="U5" i="203"/>
  <c r="T9" i="199"/>
  <c r="Q8" i="209"/>
  <c r="R6" i="206"/>
  <c r="L7" i="210"/>
  <c r="N5" i="198"/>
  <c r="S7" i="37"/>
  <c r="T2" i="198"/>
  <c r="M6" i="195"/>
  <c r="S4" i="209"/>
  <c r="S6" i="193"/>
  <c r="Q10" i="213"/>
  <c r="R2" i="207"/>
  <c r="T2" i="194"/>
  <c r="S3" i="37"/>
  <c r="M6" i="203"/>
  <c r="M6" i="191"/>
  <c r="O4" i="209"/>
  <c r="N2" i="193"/>
  <c r="L4" i="201"/>
  <c r="O10" i="211"/>
  <c r="L4" i="199"/>
  <c r="T4" i="209"/>
  <c r="L4" i="37"/>
  <c r="Q4" i="201"/>
  <c r="U9" i="196"/>
  <c r="S7" i="199"/>
  <c r="N8" i="192"/>
  <c r="R2" i="194"/>
  <c r="R10" i="208"/>
  <c r="Q10" i="195"/>
  <c r="L7" i="209"/>
  <c r="M3" i="204"/>
  <c r="M8" i="193"/>
  <c r="U8" i="205"/>
  <c r="R4" i="203"/>
  <c r="M3" i="37"/>
  <c r="R5" i="213"/>
  <c r="P8" i="203"/>
  <c r="T10" i="210"/>
  <c r="T2" i="212"/>
  <c r="T3" i="203"/>
  <c r="S5" i="208"/>
  <c r="L8" i="201"/>
  <c r="M8" i="212"/>
  <c r="L10" i="213"/>
  <c r="R7" i="209"/>
  <c r="P4" i="211"/>
  <c r="R6" i="193"/>
  <c r="Q2" i="192"/>
  <c r="M9" i="212"/>
  <c r="N4" i="203"/>
  <c r="N2" i="207"/>
  <c r="N8" i="204"/>
  <c r="M7" i="194"/>
  <c r="U5" i="207"/>
  <c r="P5" i="211"/>
  <c r="U4" i="213"/>
  <c r="L10" i="199"/>
  <c r="O8" i="194"/>
  <c r="U2" i="214"/>
  <c r="L7" i="193"/>
  <c r="R3" i="198"/>
  <c r="O3" i="214"/>
  <c r="R9" i="193"/>
  <c r="S7" i="191"/>
  <c r="N9" i="214"/>
  <c r="T7" i="195"/>
  <c r="R4" i="204"/>
  <c r="S2" i="191"/>
  <c r="U5" i="192"/>
  <c r="U3" i="198"/>
  <c r="T2" i="193"/>
  <c r="U5" i="194"/>
  <c r="S6" i="199"/>
  <c r="R2" i="212"/>
  <c r="T8" i="193"/>
  <c r="R6" i="37"/>
  <c r="U9" i="198"/>
  <c r="P2" i="191"/>
  <c r="T10" i="204"/>
  <c r="N8" i="207"/>
  <c r="L3" i="191"/>
  <c r="O5" i="209"/>
  <c r="P7" i="201"/>
  <c r="S7" i="211"/>
  <c r="M5" i="207"/>
  <c r="U8" i="191"/>
  <c r="U4" i="214"/>
  <c r="Q2" i="205"/>
  <c r="N5" i="194"/>
  <c r="R3" i="207"/>
  <c r="N2" i="211"/>
  <c r="T7" i="204"/>
  <c r="T7" i="202"/>
  <c r="S8" i="194"/>
  <c r="T7" i="37"/>
  <c r="T9" i="214"/>
  <c r="M5" i="206"/>
  <c r="T9" i="195"/>
  <c r="P8" i="202"/>
  <c r="O2" i="207"/>
  <c r="L7" i="194"/>
  <c r="P8" i="37"/>
  <c r="M7" i="195"/>
  <c r="R3" i="205"/>
  <c r="Q6" i="203"/>
  <c r="M2" i="201"/>
  <c r="P10" i="211"/>
  <c r="U6" i="211"/>
  <c r="R7" i="208"/>
  <c r="S4" i="196"/>
  <c r="T3" i="211"/>
  <c r="O5" i="205"/>
  <c r="N10" i="196"/>
  <c r="Q10" i="194"/>
  <c r="P2" i="211"/>
  <c r="Q2" i="212"/>
  <c r="Q4" i="198"/>
  <c r="M5" i="203"/>
  <c r="O8" i="199"/>
  <c r="M4" i="202"/>
  <c r="S4" i="212"/>
  <c r="L9" i="196"/>
  <c r="N4" i="209"/>
  <c r="R9" i="192"/>
  <c r="P6" i="209"/>
  <c r="M7" i="191"/>
  <c r="Q3" i="202"/>
  <c r="L10" i="205"/>
  <c r="U8" i="209"/>
  <c r="R4" i="206"/>
  <c r="Q10" i="212"/>
  <c r="Q9" i="192"/>
  <c r="M5" i="212"/>
  <c r="S7" i="193"/>
  <c r="L2" i="214"/>
  <c r="M10" i="209"/>
  <c r="T6" i="204"/>
  <c r="Q6" i="205"/>
  <c r="P7" i="208"/>
  <c r="Q4" i="208"/>
  <c r="R8" i="200"/>
  <c r="S10" i="207"/>
  <c r="N9" i="204"/>
  <c r="O4" i="200"/>
  <c r="N10" i="194"/>
  <c r="O9" i="209"/>
  <c r="U5" i="204"/>
  <c r="N10" i="204"/>
  <c r="O6" i="208"/>
  <c r="T10" i="203"/>
  <c r="S6" i="200"/>
  <c r="M8" i="211"/>
  <c r="Q2" i="207"/>
  <c r="S4" i="211"/>
  <c r="S8" i="211"/>
  <c r="M3" i="200"/>
  <c r="U6" i="207"/>
  <c r="R7" i="211"/>
  <c r="T6" i="37"/>
  <c r="T8" i="199"/>
  <c r="R9" i="211"/>
  <c r="M10" i="199"/>
  <c r="S8" i="208"/>
  <c r="U4" i="201"/>
  <c r="Q6" i="210"/>
  <c r="N3" i="205"/>
  <c r="P2" i="209"/>
  <c r="L3" i="37"/>
  <c r="T10" i="193"/>
  <c r="Q2" i="211"/>
  <c r="M4" i="205"/>
  <c r="S6" i="203"/>
  <c r="P10" i="198"/>
  <c r="P8" i="212"/>
  <c r="T9" i="212"/>
  <c r="R4" i="200"/>
  <c r="M4" i="196"/>
  <c r="L8" i="196"/>
  <c r="Q8" i="206"/>
  <c r="Q8" i="214"/>
  <c r="M4" i="37"/>
  <c r="P9" i="203"/>
  <c r="M3" i="196"/>
  <c r="S10" i="196"/>
  <c r="T4" i="201"/>
  <c r="T5" i="208"/>
  <c r="S10" i="202"/>
  <c r="T3" i="192"/>
  <c r="O8" i="203"/>
  <c r="U6" i="205"/>
  <c r="N3" i="206"/>
  <c r="S9" i="192"/>
  <c r="S10" i="208"/>
  <c r="O4" i="198"/>
  <c r="O9" i="207"/>
  <c r="N4" i="208"/>
  <c r="Q8" i="201"/>
  <c r="T6" i="212"/>
  <c r="Q5" i="211"/>
  <c r="N5" i="199"/>
  <c r="O7" i="202"/>
  <c r="O8" i="210"/>
  <c r="T8" i="206"/>
  <c r="S5" i="202"/>
  <c r="S6" i="196"/>
  <c r="R3" i="201"/>
  <c r="T5" i="193"/>
  <c r="L4" i="210"/>
  <c r="S4" i="195"/>
  <c r="N10" i="207"/>
  <c r="U10" i="200"/>
  <c r="L2" i="196"/>
  <c r="L9" i="193"/>
  <c r="S10" i="210"/>
  <c r="L4" i="191"/>
  <c r="Q9" i="201"/>
  <c r="S4" i="191"/>
  <c r="S3" i="194"/>
  <c r="N6" i="210"/>
  <c r="O5" i="206"/>
  <c r="U4" i="209"/>
  <c r="S9" i="198"/>
  <c r="N7" i="37"/>
  <c r="R4" i="212"/>
  <c r="P7" i="194"/>
  <c r="S2" i="213"/>
  <c r="O9" i="205"/>
  <c r="N4" i="194"/>
  <c r="P8" i="208"/>
  <c r="M5" i="199"/>
  <c r="S3" i="196"/>
  <c r="T5" i="194"/>
  <c r="N5" i="212"/>
  <c r="N10" i="212"/>
  <c r="M8" i="202"/>
  <c r="O7" i="214"/>
  <c r="T3" i="194"/>
  <c r="P3" i="199"/>
  <c r="N10" i="193"/>
  <c r="T8" i="214"/>
  <c r="N3" i="192"/>
  <c r="M8" i="201"/>
  <c r="O6" i="195"/>
  <c r="U4" i="211"/>
  <c r="O5" i="211"/>
  <c r="U7" i="204"/>
  <c r="N8" i="206"/>
  <c r="R5" i="192"/>
  <c r="M10" i="192"/>
  <c r="L9" i="212"/>
  <c r="N6" i="191"/>
  <c r="L4" i="204"/>
  <c r="N6" i="209"/>
  <c r="T8" i="195"/>
  <c r="Q6" i="209"/>
  <c r="M2" i="199"/>
  <c r="T9" i="208"/>
  <c r="T3" i="193"/>
  <c r="N8" i="203"/>
  <c r="N4" i="193"/>
  <c r="Q4" i="212"/>
  <c r="P9" i="204"/>
  <c r="N4" i="195"/>
  <c r="P5" i="205"/>
  <c r="L6" i="207"/>
  <c r="N4" i="206"/>
  <c r="U10" i="207"/>
  <c r="R3" i="191"/>
  <c r="S9" i="209"/>
  <c r="N7" i="205"/>
  <c r="Q5" i="193"/>
  <c r="R6" i="195"/>
  <c r="S7" i="201"/>
  <c r="R9" i="213"/>
  <c r="M3" i="199"/>
  <c r="T7" i="213"/>
  <c r="N8" i="200"/>
  <c r="N2" i="194"/>
  <c r="L10" i="210"/>
  <c r="L2" i="213"/>
  <c r="O2" i="196"/>
  <c r="T3" i="207"/>
  <c r="U2" i="213"/>
  <c r="L3" i="208"/>
  <c r="T5" i="211"/>
  <c r="O5" i="208"/>
  <c r="M6" i="196"/>
  <c r="U6" i="212"/>
  <c r="P7" i="196"/>
  <c r="N9" i="207"/>
  <c r="M8" i="198"/>
  <c r="P9" i="208"/>
  <c r="P5" i="210"/>
  <c r="S10" i="204"/>
  <c r="U8" i="201"/>
  <c r="U8" i="208"/>
  <c r="M9" i="192"/>
  <c r="U5" i="191"/>
  <c r="O10" i="214"/>
  <c r="T7" i="208"/>
  <c r="N9" i="198"/>
  <c r="U6" i="200"/>
  <c r="M4" i="206"/>
  <c r="M5" i="201"/>
  <c r="N2" i="196"/>
  <c r="L6" i="211"/>
  <c r="N2" i="206"/>
  <c r="Q3" i="207"/>
  <c r="S6" i="191"/>
  <c r="P2" i="195"/>
  <c r="P8" i="213"/>
  <c r="L3" i="192"/>
  <c r="P8" i="205"/>
  <c r="N5" i="200"/>
  <c r="U2" i="37"/>
  <c r="S4" i="214"/>
  <c r="T7" i="193"/>
  <c r="L7" i="205"/>
  <c r="N3" i="200"/>
  <c r="O5" i="204"/>
  <c r="T7" i="199"/>
  <c r="N4" i="210"/>
  <c r="M10" i="198"/>
  <c r="S8" i="214"/>
  <c r="S10" i="206"/>
  <c r="O4" i="214"/>
  <c r="O3" i="37"/>
  <c r="R4" i="205"/>
  <c r="O9" i="206"/>
  <c r="N2" i="205"/>
  <c r="N5" i="37"/>
  <c r="T3" i="206"/>
  <c r="O2" i="191"/>
  <c r="S2" i="209"/>
  <c r="N2" i="192"/>
  <c r="N4" i="192"/>
  <c r="N9" i="212"/>
  <c r="R10" i="193"/>
  <c r="R2" i="208"/>
  <c r="R7" i="210"/>
  <c r="Q3" i="212"/>
  <c r="T8" i="205"/>
  <c r="U4" i="208"/>
  <c r="L2" i="205"/>
  <c r="S5" i="196"/>
  <c r="P8" i="198"/>
  <c r="R6" i="196"/>
  <c r="R8" i="212"/>
  <c r="L10" i="37"/>
  <c r="L4" i="214"/>
  <c r="N7" i="191"/>
  <c r="N8" i="193"/>
  <c r="M10" i="203"/>
  <c r="Q7" i="206"/>
  <c r="P3" i="194"/>
  <c r="M5" i="210"/>
  <c r="Q10" i="206"/>
  <c r="R10" i="212"/>
  <c r="M7" i="214"/>
  <c r="T2" i="205"/>
  <c r="M7" i="209"/>
  <c r="T6" i="195"/>
  <c r="R2" i="191"/>
  <c r="L4" i="208"/>
  <c r="O2" i="202"/>
  <c r="T3" i="191"/>
  <c r="S10" i="211"/>
  <c r="N4" i="204"/>
  <c r="O6" i="192"/>
  <c r="M9" i="198"/>
  <c r="U10" i="210"/>
  <c r="R8" i="198"/>
  <c r="Q9" i="37"/>
  <c r="L6" i="212"/>
  <c r="N10" i="213"/>
  <c r="R9" i="205"/>
  <c r="P9" i="37"/>
  <c r="N10" i="192"/>
  <c r="U7" i="37"/>
  <c r="N7" i="195"/>
  <c r="P6" i="210"/>
  <c r="U9" i="207"/>
  <c r="P5" i="203"/>
  <c r="U6" i="193"/>
  <c r="O5" i="202"/>
  <c r="P2" i="196"/>
  <c r="S7" i="208"/>
  <c r="N8" i="198"/>
  <c r="N3" i="195"/>
  <c r="M5" i="195"/>
  <c r="P6" i="195"/>
  <c r="U7" i="193"/>
  <c r="M4" i="201"/>
  <c r="O2" i="209"/>
  <c r="N9" i="205"/>
  <c r="S4" i="208"/>
  <c r="O7" i="203"/>
  <c r="P8" i="211"/>
  <c r="T2" i="213"/>
  <c r="P4" i="199"/>
  <c r="N7" i="206"/>
  <c r="P10" i="195"/>
  <c r="Q7" i="201"/>
  <c r="L3" i="206"/>
  <c r="M8" i="203"/>
  <c r="R3" i="37"/>
  <c r="Q10" i="203"/>
  <c r="S7" i="196"/>
  <c r="P4" i="195"/>
  <c r="O9" i="210"/>
  <c r="P3" i="200"/>
  <c r="L6" i="205"/>
  <c r="M9" i="203"/>
  <c r="L9" i="207"/>
  <c r="S10" i="205"/>
  <c r="M8" i="196"/>
  <c r="R4" i="192"/>
  <c r="U9" i="200"/>
  <c r="S10" i="203"/>
  <c r="Q4" i="193"/>
  <c r="T6" i="209"/>
  <c r="M3" i="202"/>
  <c r="O4" i="203"/>
  <c r="N3" i="198"/>
  <c r="Q9" i="199"/>
  <c r="O9" i="191"/>
  <c r="U6" i="206"/>
  <c r="U8" i="207"/>
  <c r="M5" i="209"/>
  <c r="R5" i="195"/>
  <c r="U4" i="210"/>
  <c r="R5" i="209"/>
  <c r="O7" i="206"/>
  <c r="R2" i="205"/>
  <c r="N10" i="214"/>
  <c r="M10" i="201"/>
  <c r="S7" i="195"/>
  <c r="T2" i="196"/>
  <c r="M5" i="192"/>
  <c r="P6" i="213"/>
  <c r="O2" i="210"/>
  <c r="U6" i="191"/>
  <c r="R4" i="194"/>
  <c r="P3" i="214"/>
  <c r="R9" i="194"/>
  <c r="Q2" i="213"/>
  <c r="P10" i="208"/>
  <c r="R9" i="212"/>
  <c r="R4" i="211"/>
  <c r="O4" i="210"/>
  <c r="M5" i="202"/>
  <c r="S8" i="213"/>
  <c r="L2" i="37"/>
  <c r="S9" i="196"/>
  <c r="N7" i="203"/>
  <c r="N4" i="207"/>
  <c r="Q3" i="200"/>
  <c r="Q6" i="195"/>
  <c r="P3" i="37"/>
  <c r="P7" i="192"/>
  <c r="P7" i="191"/>
  <c r="T9" i="203"/>
  <c r="L8" i="203"/>
  <c r="T5" i="204"/>
  <c r="R10" i="195"/>
  <c r="U2" i="202"/>
  <c r="P6" i="193"/>
  <c r="R9" i="206"/>
  <c r="S9" i="193"/>
  <c r="T5" i="203"/>
  <c r="P6" i="37"/>
  <c r="O8" i="212"/>
  <c r="T9" i="200"/>
  <c r="Q8" i="192"/>
  <c r="T10" i="211"/>
  <c r="M10" i="202"/>
  <c r="T8" i="212"/>
  <c r="L2" i="193"/>
  <c r="U3" i="210"/>
  <c r="N6" i="213"/>
  <c r="T2" i="200"/>
  <c r="L2" i="204"/>
  <c r="P6" i="196"/>
  <c r="R10" i="206"/>
  <c r="T5" i="206"/>
  <c r="L4" i="203"/>
  <c r="T9" i="205"/>
  <c r="L2" i="201"/>
  <c r="O5" i="201"/>
  <c r="M7" i="204"/>
  <c r="L5" i="211"/>
  <c r="U8" i="198"/>
  <c r="U10" i="203"/>
  <c r="P7" i="213"/>
  <c r="O8" i="37"/>
  <c r="U8" i="214"/>
  <c r="N3" i="209"/>
  <c r="M3" i="194"/>
  <c r="M10" i="208"/>
  <c r="M5" i="213"/>
  <c r="U10" i="213"/>
  <c r="O9" i="194"/>
  <c r="N7" i="196"/>
  <c r="U2" i="199"/>
  <c r="U7" i="211"/>
  <c r="L6" i="198"/>
  <c r="T10" i="191"/>
  <c r="P2" i="202"/>
  <c r="M9" i="199"/>
  <c r="U2" i="205"/>
  <c r="N4" i="191"/>
  <c r="U2" i="191"/>
  <c r="P9" i="201"/>
  <c r="L4" i="200"/>
  <c r="R10" i="201"/>
  <c r="R10" i="204"/>
  <c r="R4" i="195"/>
  <c r="R8" i="203"/>
  <c r="M8" i="213"/>
  <c r="U9" i="195"/>
  <c r="R3" i="213"/>
  <c r="S3" i="209"/>
  <c r="S2" i="202"/>
  <c r="R8" i="204"/>
  <c r="O10" i="192"/>
  <c r="Q10" i="196"/>
  <c r="L6" i="204"/>
  <c r="L4" i="202"/>
  <c r="S10" i="213"/>
  <c r="Q10" i="204"/>
  <c r="M6" i="192"/>
  <c r="M6" i="37"/>
  <c r="R10" i="202"/>
  <c r="O5" i="203"/>
  <c r="M10" i="195"/>
  <c r="N10" i="211"/>
  <c r="M2" i="196"/>
  <c r="S5" i="194"/>
  <c r="N3" i="194"/>
  <c r="T10" i="37"/>
  <c r="Q4" i="213"/>
  <c r="T9" i="204"/>
  <c r="O5" i="191"/>
  <c r="S3" i="212"/>
  <c r="U3" i="204"/>
  <c r="L5" i="191"/>
  <c r="Q2" i="209"/>
  <c r="P5" i="209"/>
  <c r="O10" i="202"/>
  <c r="S5" i="210"/>
  <c r="T9" i="209"/>
  <c r="T9" i="202"/>
  <c r="M8" i="206"/>
  <c r="U3" i="214"/>
  <c r="S5" i="203"/>
  <c r="L5" i="195"/>
  <c r="M9" i="214"/>
  <c r="M4" i="208"/>
  <c r="U10" i="199"/>
  <c r="P4" i="37"/>
  <c r="S8" i="205"/>
  <c r="N6" i="204"/>
  <c r="T10" i="206"/>
  <c r="P5" i="193"/>
  <c r="M10" i="196"/>
  <c r="O5" i="212"/>
  <c r="T2" i="201"/>
  <c r="S10" i="209"/>
  <c r="R2" i="198"/>
  <c r="S9" i="201"/>
  <c r="Q3" i="195"/>
  <c r="Q7" i="209"/>
  <c r="Q7" i="203"/>
  <c r="T10" i="208"/>
  <c r="O4" i="206"/>
  <c r="N9" i="202"/>
  <c r="U9" i="206"/>
  <c r="L10" i="202"/>
  <c r="O8" i="193"/>
  <c r="N2" i="208"/>
  <c r="R7" i="196"/>
  <c r="S4" i="213"/>
  <c r="O8" i="204"/>
  <c r="Q5" i="208"/>
  <c r="Q10" i="202"/>
  <c r="M10" i="204"/>
  <c r="L7" i="206"/>
  <c r="P2" i="200"/>
  <c r="M2" i="208"/>
  <c r="N6" i="214"/>
  <c r="O7" i="196"/>
  <c r="Q2" i="210"/>
  <c r="N10" i="202"/>
  <c r="O7" i="193"/>
  <c r="N4" i="205"/>
  <c r="P7" i="195"/>
  <c r="S9" i="204"/>
  <c r="Q7" i="199"/>
  <c r="L3" i="201"/>
  <c r="Q2" i="191"/>
  <c r="Q8" i="208"/>
  <c r="P10" i="210"/>
  <c r="U2" i="206"/>
  <c r="N2" i="200"/>
  <c r="P2" i="192"/>
  <c r="T4" i="195"/>
  <c r="U8" i="203"/>
  <c r="P2" i="194"/>
  <c r="P3" i="208"/>
  <c r="N8" i="195"/>
  <c r="T8" i="198"/>
  <c r="O5" i="192"/>
  <c r="M2" i="209"/>
  <c r="S4" i="204"/>
  <c r="U6" i="195"/>
  <c r="N5" i="203"/>
  <c r="M2" i="198"/>
  <c r="L9" i="192"/>
  <c r="T7" i="205"/>
  <c r="L6" i="191"/>
  <c r="R10" i="194"/>
  <c r="P10" i="209"/>
  <c r="T6" i="206"/>
  <c r="O7" i="191"/>
  <c r="O9" i="198"/>
  <c r="N5" i="208"/>
  <c r="O3" i="205"/>
  <c r="U8" i="196"/>
  <c r="O4" i="201"/>
  <c r="M4" i="214"/>
  <c r="O8" i="196"/>
  <c r="L8" i="191"/>
  <c r="M5" i="214"/>
  <c r="S6" i="202"/>
  <c r="N2" i="202"/>
  <c r="P9" i="212"/>
  <c r="P9" i="191"/>
  <c r="R4" i="214"/>
  <c r="L3" i="207"/>
  <c r="P6" i="204"/>
  <c r="O5" i="213"/>
  <c r="O7" i="194"/>
  <c r="T5" i="200"/>
  <c r="R9" i="214"/>
  <c r="L10" i="196"/>
  <c r="O5" i="210"/>
  <c r="P2" i="193"/>
  <c r="N9" i="192"/>
  <c r="T5" i="202"/>
  <c r="N10" i="206"/>
  <c r="Q5" i="198"/>
  <c r="R10" i="210"/>
  <c r="N8" i="201"/>
  <c r="M9" i="209"/>
  <c r="S6" i="195"/>
  <c r="T8" i="207"/>
  <c r="M9" i="195"/>
  <c r="O5" i="193"/>
  <c r="L6" i="192"/>
  <c r="M8" i="208"/>
  <c r="P10" i="194"/>
  <c r="T4" i="199"/>
  <c r="P7" i="207"/>
  <c r="R6" i="194"/>
  <c r="N8" i="202"/>
  <c r="O4" i="208"/>
  <c r="Q8" i="212"/>
  <c r="T10" i="202"/>
  <c r="M3" i="207"/>
  <c r="N2" i="201"/>
  <c r="M5" i="211"/>
  <c r="S8" i="198"/>
  <c r="O8" i="202"/>
  <c r="N9" i="195"/>
  <c r="L9" i="210"/>
  <c r="Q5" i="192"/>
  <c r="O5" i="214"/>
  <c r="L5" i="204"/>
  <c r="U10" i="214"/>
  <c r="Q3" i="199"/>
  <c r="S10" i="193"/>
  <c r="S5" i="37"/>
  <c r="U2" i="208"/>
  <c r="L9" i="195"/>
  <c r="M3" i="206"/>
  <c r="S9" i="211"/>
  <c r="R4" i="198"/>
  <c r="S2" i="206"/>
  <c r="M5" i="196"/>
  <c r="Q8" i="191"/>
  <c r="M6" i="206"/>
  <c r="T4" i="37"/>
  <c r="L2" i="194"/>
  <c r="P10" i="192"/>
  <c r="L4" i="211"/>
  <c r="S4" i="37"/>
  <c r="Q8" i="207"/>
  <c r="T7" i="198"/>
  <c r="O6" i="211"/>
  <c r="S2" i="211"/>
  <c r="O8" i="214"/>
  <c r="U5" i="202"/>
  <c r="P8" i="195"/>
  <c r="P2" i="206"/>
  <c r="U2" i="211"/>
  <c r="P9" i="194"/>
  <c r="S4" i="203"/>
  <c r="P5" i="37"/>
  <c r="N5" i="201"/>
  <c r="T4" i="192"/>
  <c r="U8" i="211"/>
  <c r="S5" i="214"/>
  <c r="T5" i="201"/>
  <c r="S2" i="193"/>
  <c r="U5" i="206"/>
  <c r="M6" i="204"/>
  <c r="S9" i="207"/>
  <c r="M6" i="209"/>
  <c r="T6" i="199"/>
  <c r="Q9" i="210"/>
  <c r="M9" i="213"/>
  <c r="P10" i="201"/>
  <c r="U5" i="196"/>
  <c r="P10" i="204"/>
  <c r="U8" i="212"/>
  <c r="O4" i="202"/>
  <c r="Q4" i="211"/>
  <c r="O7" i="210"/>
  <c r="L2" i="209"/>
  <c r="Q2" i="199"/>
  <c r="P6" i="205"/>
  <c r="O6" i="203"/>
  <c r="P7" i="210"/>
  <c r="L3" i="212"/>
  <c r="M7" i="205"/>
  <c r="S2" i="37"/>
  <c r="R4" i="207"/>
  <c r="L7" i="37"/>
  <c r="O5" i="200"/>
  <c r="Q10" i="211"/>
  <c r="L5" i="202"/>
  <c r="M4" i="194"/>
  <c r="U8" i="193"/>
  <c r="N7" i="200"/>
  <c r="P3" i="192"/>
  <c r="N8" i="211"/>
  <c r="R10" i="199"/>
  <c r="N5" i="209"/>
  <c r="Q9" i="212"/>
  <c r="R10" i="198"/>
  <c r="M4" i="204"/>
  <c r="O2" i="206"/>
  <c r="S6" i="208"/>
  <c r="L9" i="199"/>
  <c r="M9" i="202"/>
  <c r="S5" i="213"/>
  <c r="U8" i="195"/>
  <c r="L6" i="193"/>
  <c r="T4" i="202"/>
  <c r="S6" i="201"/>
  <c r="R5" i="205"/>
  <c r="L3" i="205"/>
  <c r="S8" i="199"/>
  <c r="Q9" i="205"/>
  <c r="R5" i="191"/>
  <c r="U6" i="199"/>
  <c r="S9" i="195"/>
  <c r="S6" i="194"/>
  <c r="U10" i="202"/>
  <c r="O9" i="208"/>
  <c r="L9" i="200"/>
  <c r="R3" i="211"/>
  <c r="Q4" i="200"/>
  <c r="P10" i="199"/>
  <c r="U3" i="195"/>
  <c r="R10" i="213"/>
  <c r="U8" i="192"/>
  <c r="L8" i="207"/>
  <c r="P10" i="37"/>
  <c r="U9" i="210"/>
  <c r="U7" i="212"/>
  <c r="M2" i="204"/>
  <c r="U2" i="212"/>
  <c r="Q8" i="37"/>
  <c r="L7" i="195"/>
  <c r="N7" i="213"/>
  <c r="U4" i="204"/>
  <c r="L8" i="204"/>
  <c r="O4" i="207"/>
  <c r="R5" i="199"/>
  <c r="T5" i="192"/>
  <c r="U10" i="209"/>
  <c r="N10" i="210"/>
  <c r="S7" i="214"/>
  <c r="T3" i="199"/>
  <c r="O2" i="200"/>
  <c r="L5" i="194"/>
  <c r="O7" i="211"/>
  <c r="Q9" i="207"/>
  <c r="S9" i="37"/>
  <c r="P7" i="202"/>
  <c r="S10" i="195"/>
  <c r="R8" i="209"/>
  <c r="Q2" i="203"/>
  <c r="R6" i="210"/>
  <c r="S10" i="194"/>
  <c r="T4" i="212"/>
  <c r="N6" i="212"/>
  <c r="R5" i="196"/>
  <c r="O8" i="192"/>
  <c r="P9" i="214"/>
  <c r="L8" i="208"/>
  <c r="Q8" i="200"/>
  <c r="M8" i="210"/>
  <c r="N3" i="204"/>
  <c r="N7" i="214"/>
  <c r="P4" i="213"/>
  <c r="S6" i="211"/>
  <c r="R3" i="208"/>
  <c r="T8" i="213"/>
  <c r="S6" i="206"/>
  <c r="S5" i="209"/>
  <c r="R4" i="196"/>
  <c r="S7" i="203"/>
  <c r="U2" i="204"/>
  <c r="N8" i="212"/>
  <c r="R7" i="206"/>
  <c r="L5" i="200"/>
  <c r="N4" i="213"/>
  <c r="Q5" i="194"/>
  <c r="M2" i="195"/>
  <c r="O4" i="196"/>
  <c r="N4" i="199"/>
  <c r="S8" i="193"/>
  <c r="Q9" i="191"/>
  <c r="O9" i="199"/>
  <c r="T6" i="193"/>
  <c r="O9" i="193"/>
  <c r="S7" i="209"/>
  <c r="R2" i="193"/>
  <c r="L5" i="206"/>
  <c r="Q10" i="199"/>
  <c r="U8" i="194"/>
  <c r="S3" i="191"/>
  <c r="L7" i="208"/>
  <c r="T6" i="203"/>
  <c r="U7" i="213"/>
  <c r="S2" i="198"/>
  <c r="Q9" i="203"/>
  <c r="U9" i="192"/>
  <c r="Q6" i="211"/>
  <c r="U8" i="37"/>
  <c r="U9" i="213"/>
  <c r="N4" i="201"/>
  <c r="T3" i="198"/>
  <c r="R2" i="196"/>
  <c r="M5" i="191"/>
  <c r="L7" i="201"/>
  <c r="T2" i="208"/>
  <c r="S9" i="214"/>
  <c r="Q6" i="37"/>
  <c r="Q3" i="198"/>
  <c r="P7" i="211"/>
  <c r="U5" i="195"/>
  <c r="P9" i="205"/>
  <c r="L9" i="204"/>
  <c r="M6" i="213"/>
  <c r="O10" i="37"/>
  <c r="S8" i="37"/>
  <c r="U2" i="200"/>
  <c r="Q10" i="37"/>
  <c r="P8" i="196"/>
  <c r="M4" i="192"/>
  <c r="O4" i="211"/>
  <c r="N5" i="211"/>
  <c r="Q2" i="194"/>
  <c r="T9" i="211"/>
  <c r="T10" i="192"/>
  <c r="M4" i="207"/>
  <c r="O10" i="213"/>
  <c r="P2" i="199"/>
  <c r="M8" i="214"/>
  <c r="R5" i="203"/>
  <c r="L6" i="200"/>
  <c r="N6" i="201"/>
  <c r="M9" i="193"/>
  <c r="P6" i="200"/>
  <c r="T6" i="196"/>
  <c r="O10" i="206"/>
  <c r="M2" i="211"/>
  <c r="Q9" i="213"/>
  <c r="P8" i="206"/>
  <c r="T2" i="199"/>
  <c r="U3" i="191"/>
  <c r="R10" i="200"/>
  <c r="S4" i="194"/>
  <c r="M8" i="199"/>
  <c r="R8" i="205"/>
  <c r="M3" i="205"/>
  <c r="S2" i="208"/>
  <c r="O4" i="193"/>
  <c r="T3" i="196"/>
  <c r="S7" i="206"/>
  <c r="R8" i="206"/>
  <c r="S5" i="200"/>
  <c r="Q6" i="213"/>
  <c r="M6" i="193"/>
  <c r="R2" i="214"/>
  <c r="O10" i="201"/>
  <c r="O2" i="208"/>
  <c r="U2" i="210"/>
  <c r="U9" i="193"/>
  <c r="U3" i="208"/>
  <c r="S2" i="210"/>
  <c r="O3" i="209"/>
  <c r="L9" i="201"/>
  <c r="U4" i="196"/>
  <c r="S6" i="214"/>
  <c r="O10" i="194"/>
  <c r="Q6" i="196"/>
  <c r="P3" i="210"/>
  <c r="R2" i="211"/>
  <c r="U3" i="206"/>
  <c r="S5" i="211"/>
  <c r="Q6" i="198"/>
  <c r="T9" i="207"/>
  <c r="U3" i="193"/>
  <c r="W7" i="194" l="1"/>
  <c r="W8" i="192"/>
  <c r="W2" i="210"/>
  <c r="AB14" i="73" s="1"/>
  <c r="W8" i="202"/>
  <c r="W10" i="214"/>
  <c r="W3" i="208"/>
  <c r="W5" i="192"/>
  <c r="W4" i="202"/>
  <c r="W9" i="37"/>
  <c r="E9" i="73"/>
  <c r="Y9" i="197" s="1"/>
  <c r="W2" i="201"/>
  <c r="S14" i="73" s="1"/>
  <c r="W2" i="199"/>
  <c r="Q14" i="73" s="1"/>
  <c r="W10" i="191"/>
  <c r="O14" i="73"/>
  <c r="W5" i="198"/>
  <c r="W9" i="206"/>
  <c r="W8" i="211"/>
  <c r="W7" i="205"/>
  <c r="E3" i="73"/>
  <c r="Y3" i="197" s="1"/>
  <c r="W3" i="37"/>
  <c r="W7" i="191"/>
  <c r="W3" i="201"/>
  <c r="W10" i="199"/>
  <c r="W7" i="209"/>
  <c r="W2" i="213"/>
  <c r="AE14" i="73" s="1"/>
  <c r="W5" i="200"/>
  <c r="W5" i="191"/>
  <c r="W9" i="192"/>
  <c r="W6" i="202"/>
  <c r="W7" i="208"/>
  <c r="W4" i="213"/>
  <c r="W8" i="206"/>
  <c r="W9" i="195"/>
  <c r="W10" i="196"/>
  <c r="W3" i="204"/>
  <c r="W6" i="198"/>
  <c r="W5" i="207"/>
  <c r="W5" i="195"/>
  <c r="W3" i="196"/>
  <c r="W9" i="196"/>
  <c r="W6" i="211"/>
  <c r="W3" i="206"/>
  <c r="W10" i="213"/>
  <c r="W5" i="212"/>
  <c r="W3" i="211"/>
  <c r="W4" i="204"/>
  <c r="W4" i="193"/>
  <c r="E2" i="73"/>
  <c r="Y2" i="197" s="1"/>
  <c r="W2" i="37"/>
  <c r="W6" i="200"/>
  <c r="W5" i="201"/>
  <c r="W9" i="212"/>
  <c r="W3" i="191"/>
  <c r="W10" i="200"/>
  <c r="W3" i="205"/>
  <c r="W7" i="193"/>
  <c r="E8" i="73"/>
  <c r="Y8" i="197" s="1"/>
  <c r="W8" i="37"/>
  <c r="W6" i="199"/>
  <c r="W2" i="209"/>
  <c r="AA14" i="73" s="1"/>
  <c r="W6" i="214"/>
  <c r="W8" i="204"/>
  <c r="W5" i="211"/>
  <c r="W9" i="209"/>
  <c r="W9" i="198"/>
  <c r="W9" i="205"/>
  <c r="W4" i="198"/>
  <c r="W6" i="192"/>
  <c r="W6" i="213"/>
  <c r="W3" i="202"/>
  <c r="W3" i="212"/>
  <c r="W4" i="214"/>
  <c r="W10" i="204"/>
  <c r="W2" i="192"/>
  <c r="J14" i="73" s="1"/>
  <c r="W7" i="203"/>
  <c r="W4" i="200"/>
  <c r="W9" i="207"/>
  <c r="W8" i="193"/>
  <c r="W5" i="202"/>
  <c r="W4" i="201"/>
  <c r="W8" i="196"/>
  <c r="W9" i="208"/>
  <c r="W2" i="191"/>
  <c r="I14" i="73" s="1"/>
  <c r="W8" i="191"/>
  <c r="W2" i="203"/>
  <c r="U14" i="73" s="1"/>
  <c r="W4" i="194"/>
  <c r="W6" i="210"/>
  <c r="W4" i="37"/>
  <c r="E4" i="73"/>
  <c r="Y4" i="197" s="1"/>
  <c r="W6" i="196"/>
  <c r="W3" i="195"/>
  <c r="W10" i="37"/>
  <c r="E10" i="73"/>
  <c r="Y10" i="197" s="1"/>
  <c r="W10" i="206"/>
  <c r="W2" i="200"/>
  <c r="R14" i="73" s="1"/>
  <c r="W9" i="191"/>
  <c r="W7" i="195"/>
  <c r="W6" i="193"/>
  <c r="W5" i="196"/>
  <c r="W8" i="201"/>
  <c r="W2" i="204"/>
  <c r="V14" i="73" s="1"/>
  <c r="W2" i="205"/>
  <c r="W14" i="73" s="1"/>
  <c r="W10" i="201"/>
  <c r="W3" i="193"/>
  <c r="W8" i="205"/>
  <c r="W2" i="198"/>
  <c r="P14" i="73" s="1"/>
  <c r="W6" i="194"/>
  <c r="W9" i="210"/>
  <c r="W5" i="203"/>
  <c r="W8" i="212"/>
  <c r="W9" i="194"/>
  <c r="W8" i="203"/>
  <c r="W6" i="37"/>
  <c r="E6" i="73"/>
  <c r="Y6" i="197" s="1"/>
  <c r="W6" i="205"/>
  <c r="W4" i="209"/>
  <c r="W8" i="194"/>
  <c r="W9" i="213"/>
  <c r="W7" i="37"/>
  <c r="E7" i="73"/>
  <c r="Y7" i="197" s="1"/>
  <c r="W9" i="201"/>
  <c r="W3" i="200"/>
  <c r="E5" i="73"/>
  <c r="Y5" i="197" s="1"/>
  <c r="W5" i="37"/>
  <c r="W3" i="199"/>
  <c r="W5" i="206"/>
  <c r="W4" i="191"/>
  <c r="W2" i="194"/>
  <c r="L14" i="73" s="1"/>
  <c r="W4" i="192"/>
  <c r="W7" i="198"/>
  <c r="W9" i="200"/>
  <c r="W2" i="196"/>
  <c r="N14" i="73" s="1"/>
  <c r="W4" i="211"/>
  <c r="W9" i="204"/>
  <c r="W5" i="208"/>
  <c r="W7" i="210"/>
  <c r="W3" i="213"/>
  <c r="W10" i="210"/>
  <c r="W2" i="214"/>
  <c r="AF14" i="73" s="1"/>
  <c r="W3" i="192"/>
  <c r="W10" i="198"/>
  <c r="W8" i="214"/>
  <c r="W3" i="210"/>
  <c r="W4" i="195"/>
  <c r="W2" i="212"/>
  <c r="AD14" i="73" s="1"/>
  <c r="W10" i="202"/>
  <c r="W9" i="211"/>
  <c r="W4" i="203"/>
  <c r="W10" i="193"/>
  <c r="W9" i="193"/>
  <c r="W6" i="206"/>
  <c r="W7" i="196"/>
  <c r="W5" i="205"/>
  <c r="W8" i="208"/>
  <c r="W8" i="207"/>
  <c r="W7" i="207"/>
  <c r="W6" i="203"/>
  <c r="W10" i="205"/>
  <c r="W2" i="208"/>
  <c r="Z14" i="73" s="1"/>
  <c r="W4" i="207"/>
  <c r="W4" i="210"/>
  <c r="W9" i="202"/>
  <c r="W3" i="198"/>
  <c r="W7" i="201"/>
  <c r="W2" i="193"/>
  <c r="K14" i="73" s="1"/>
  <c r="W5" i="204"/>
  <c r="W3" i="209"/>
  <c r="W2" i="211"/>
  <c r="AC14" i="73" s="1"/>
  <c r="W10" i="212"/>
  <c r="W10" i="192"/>
  <c r="W5" i="214"/>
  <c r="W3" i="203"/>
  <c r="W4" i="208"/>
  <c r="W6" i="207"/>
  <c r="W5" i="213"/>
  <c r="W2" i="195"/>
  <c r="M14" i="73" s="1"/>
  <c r="W5" i="209"/>
  <c r="W7" i="214"/>
  <c r="W4" i="205"/>
  <c r="W7" i="199"/>
  <c r="W6" i="201"/>
  <c r="W10" i="194"/>
  <c r="W6" i="212"/>
  <c r="W3" i="214"/>
  <c r="W4" i="212"/>
  <c r="W8" i="200"/>
  <c r="W8" i="198"/>
  <c r="W9" i="203"/>
  <c r="W5" i="193"/>
  <c r="W10" i="211"/>
  <c r="W6" i="195"/>
  <c r="W8" i="209"/>
  <c r="W7" i="213"/>
  <c r="W7" i="212"/>
  <c r="W2" i="207"/>
  <c r="Y14" i="73" s="1"/>
  <c r="W9" i="214"/>
  <c r="W2" i="202"/>
  <c r="T14" i="73" s="1"/>
  <c r="W5" i="194"/>
  <c r="W5" i="199"/>
  <c r="W7" i="211"/>
  <c r="W8" i="195"/>
  <c r="W8" i="210"/>
  <c r="W10" i="203"/>
  <c r="W10" i="209"/>
  <c r="W7" i="206"/>
  <c r="W4" i="199"/>
  <c r="W3" i="194"/>
  <c r="W7" i="200"/>
  <c r="W3" i="207"/>
  <c r="W6" i="208"/>
  <c r="W7" i="204"/>
  <c r="W4" i="206"/>
  <c r="W6" i="204"/>
  <c r="W7" i="192"/>
  <c r="W6" i="191"/>
  <c r="W6" i="209"/>
  <c r="W10" i="207"/>
  <c r="W10" i="195"/>
  <c r="W4" i="196"/>
  <c r="W5" i="210"/>
  <c r="W8" i="213"/>
  <c r="W10" i="208"/>
  <c r="W8" i="199"/>
  <c r="W9" i="199"/>
  <c r="W7" i="202"/>
  <c r="W2" i="206"/>
  <c r="X14" i="73" s="1"/>
  <c r="AD2" i="197" l="1"/>
  <c r="AH2" i="197"/>
  <c r="AE2" i="197"/>
  <c r="AI2" i="197"/>
  <c r="AK2" i="197"/>
  <c r="AB2" i="197"/>
  <c r="AF2" i="197"/>
  <c r="AJ2" i="197"/>
  <c r="AC2" i="197"/>
  <c r="AG2" i="197"/>
  <c r="AD5" i="197"/>
  <c r="AH5" i="197"/>
  <c r="AE5" i="197"/>
  <c r="AI5" i="197"/>
  <c r="AG5" i="197"/>
  <c r="AB5" i="197"/>
  <c r="AF5" i="197"/>
  <c r="AJ5" i="197"/>
  <c r="AC5" i="197"/>
  <c r="AK5" i="197"/>
  <c r="AD3" i="197"/>
  <c r="AH3" i="197"/>
  <c r="AE3" i="197"/>
  <c r="AI3" i="197"/>
  <c r="AF3" i="197"/>
  <c r="AK3" i="197"/>
  <c r="AC3" i="197"/>
  <c r="AG3" i="197"/>
  <c r="AB3" i="197"/>
  <c r="AJ3" i="197"/>
  <c r="AD7" i="197"/>
  <c r="AE7" i="197"/>
  <c r="AI7" i="197"/>
  <c r="AB7" i="197"/>
  <c r="AF7" i="197"/>
  <c r="AJ7" i="197"/>
  <c r="AC7" i="197"/>
  <c r="AG7" i="197"/>
  <c r="AK7" i="197"/>
  <c r="AH7" i="197"/>
  <c r="AE6" i="197"/>
  <c r="AI6" i="197"/>
  <c r="AG6" i="197"/>
  <c r="AD6" i="197"/>
  <c r="AB6" i="197"/>
  <c r="AF6" i="197"/>
  <c r="AJ6" i="197"/>
  <c r="AC6" i="197"/>
  <c r="AK6" i="197"/>
  <c r="AH6" i="197"/>
  <c r="AD9" i="197"/>
  <c r="AH9" i="197"/>
  <c r="AE9" i="197"/>
  <c r="AI9" i="197"/>
  <c r="AC9" i="197"/>
  <c r="AB9" i="197"/>
  <c r="AF9" i="197"/>
  <c r="AJ9" i="197"/>
  <c r="AG9" i="197"/>
  <c r="AK9" i="197"/>
  <c r="AD10" i="197"/>
  <c r="AH10" i="197"/>
  <c r="AJ10" i="197"/>
  <c r="AK10" i="197"/>
  <c r="AE10" i="197"/>
  <c r="AI10" i="197"/>
  <c r="AC10" i="197"/>
  <c r="AB10" i="197"/>
  <c r="AF10" i="197"/>
  <c r="AG10" i="197"/>
  <c r="AD4" i="197"/>
  <c r="AH4" i="197"/>
  <c r="AE4" i="197"/>
  <c r="AI4" i="197"/>
  <c r="AF4" i="197"/>
  <c r="AG4" i="197"/>
  <c r="AJ4" i="197"/>
  <c r="AK4" i="197"/>
  <c r="AB4" i="197"/>
  <c r="AC4" i="197"/>
  <c r="AD8" i="197"/>
  <c r="AH8" i="197"/>
  <c r="AE8" i="197"/>
  <c r="AI8" i="197"/>
  <c r="AK8" i="197"/>
  <c r="AB8" i="197"/>
  <c r="AF8" i="197"/>
  <c r="AJ8" i="197"/>
  <c r="AC8" i="197"/>
  <c r="AG8" i="197"/>
  <c r="Y5" i="200"/>
  <c r="Y5" i="196"/>
  <c r="Y5" i="195"/>
  <c r="Y5" i="214"/>
  <c r="Y5" i="211"/>
  <c r="Y5" i="212"/>
  <c r="Y5" i="213"/>
  <c r="Y5" i="209"/>
  <c r="Y5" i="204"/>
  <c r="Y5" i="206"/>
  <c r="Y5" i="194"/>
  <c r="Y5" i="208"/>
  <c r="Y5" i="37"/>
  <c r="Y5" i="210"/>
  <c r="Y5" i="199"/>
  <c r="Y5" i="203"/>
  <c r="Y5" i="205"/>
  <c r="Y5" i="198"/>
  <c r="Y5" i="201"/>
  <c r="Y5" i="207"/>
  <c r="Y5" i="191"/>
  <c r="Y5" i="202"/>
  <c r="Y5" i="192"/>
  <c r="Y5" i="193"/>
  <c r="F7" i="73"/>
  <c r="F20" i="73" s="1"/>
  <c r="H14" i="73"/>
  <c r="F2" i="73"/>
  <c r="F15" i="73" s="1"/>
  <c r="Y6" i="193"/>
  <c r="Y6" i="200"/>
  <c r="Y6" i="213"/>
  <c r="Y6" i="211"/>
  <c r="Y6" i="199"/>
  <c r="Y6" i="195"/>
  <c r="Y6" i="203"/>
  <c r="Y6" i="194"/>
  <c r="Y6" i="208"/>
  <c r="Y6" i="212"/>
  <c r="Y6" i="196"/>
  <c r="Y6" i="207"/>
  <c r="Y6" i="204"/>
  <c r="Y6" i="198"/>
  <c r="Y6" i="209"/>
  <c r="Y6" i="205"/>
  <c r="Y6" i="202"/>
  <c r="Y6" i="37"/>
  <c r="Y6" i="191"/>
  <c r="Y6" i="214"/>
  <c r="Y6" i="201"/>
  <c r="Y6" i="192"/>
  <c r="Y6" i="206"/>
  <c r="Y6" i="210"/>
  <c r="Y10" i="203"/>
  <c r="Y10" i="195"/>
  <c r="Y10" i="200"/>
  <c r="Y10" i="202"/>
  <c r="Y10" i="194"/>
  <c r="Y10" i="213"/>
  <c r="Y10" i="209"/>
  <c r="Y10" i="210"/>
  <c r="Y10" i="207"/>
  <c r="Y10" i="211"/>
  <c r="Y10" i="212"/>
  <c r="Y10" i="214"/>
  <c r="Y10" i="191"/>
  <c r="Y10" i="201"/>
  <c r="Y10" i="206"/>
  <c r="Y10" i="37"/>
  <c r="Y10" i="196"/>
  <c r="Y10" i="204"/>
  <c r="Y10" i="192"/>
  <c r="Y10" i="193"/>
  <c r="Y10" i="208"/>
  <c r="Y10" i="199"/>
  <c r="Y10" i="198"/>
  <c r="Y10" i="205"/>
  <c r="Y4" i="213"/>
  <c r="Y4" i="214"/>
  <c r="Y4" i="200"/>
  <c r="Y4" i="203"/>
  <c r="Y4" i="208"/>
  <c r="Y4" i="196"/>
  <c r="Y4" i="194"/>
  <c r="Y4" i="198"/>
  <c r="Y4" i="206"/>
  <c r="Y4" i="195"/>
  <c r="Y4" i="209"/>
  <c r="Y4" i="211"/>
  <c r="Y4" i="199"/>
  <c r="Y4" i="210"/>
  <c r="Y4" i="192"/>
  <c r="Y4" i="191"/>
  <c r="Y4" i="193"/>
  <c r="Y4" i="37"/>
  <c r="Y4" i="201"/>
  <c r="Y4" i="202"/>
  <c r="Y4" i="212"/>
  <c r="Y4" i="207"/>
  <c r="Y4" i="205"/>
  <c r="Y4" i="204"/>
  <c r="F6" i="73"/>
  <c r="F19" i="73" s="1"/>
  <c r="F10" i="73"/>
  <c r="F23" i="73" s="1"/>
  <c r="F4" i="73"/>
  <c r="F17" i="73" s="1"/>
  <c r="Y8" i="191"/>
  <c r="Y8" i="205"/>
  <c r="Y8" i="209"/>
  <c r="Y8" i="207"/>
  <c r="Y8" i="201"/>
  <c r="Y8" i="206"/>
  <c r="Y8" i="202"/>
  <c r="Y8" i="211"/>
  <c r="Y8" i="213"/>
  <c r="Y8" i="193"/>
  <c r="Y8" i="195"/>
  <c r="Y8" i="194"/>
  <c r="Y8" i="37"/>
  <c r="Y8" i="199"/>
  <c r="Y8" i="204"/>
  <c r="Y8" i="196"/>
  <c r="Y8" i="198"/>
  <c r="Y8" i="192"/>
  <c r="Y8" i="212"/>
  <c r="Y8" i="203"/>
  <c r="Y8" i="210"/>
  <c r="Y8" i="200"/>
  <c r="Y8" i="208"/>
  <c r="Y8" i="214"/>
  <c r="F5" i="73"/>
  <c r="F18" i="73" s="1"/>
  <c r="Y7" i="201"/>
  <c r="Y7" i="211"/>
  <c r="Y7" i="192"/>
  <c r="Y7" i="210"/>
  <c r="Y7" i="212"/>
  <c r="Y7" i="204"/>
  <c r="Y7" i="194"/>
  <c r="Y7" i="199"/>
  <c r="Y7" i="207"/>
  <c r="Y7" i="37"/>
  <c r="Y7" i="206"/>
  <c r="Y7" i="202"/>
  <c r="Y7" i="203"/>
  <c r="Y7" i="205"/>
  <c r="Y7" i="195"/>
  <c r="Y7" i="214"/>
  <c r="Y7" i="196"/>
  <c r="Y7" i="193"/>
  <c r="Y7" i="198"/>
  <c r="Y7" i="213"/>
  <c r="Y7" i="191"/>
  <c r="Y7" i="209"/>
  <c r="Y7" i="200"/>
  <c r="Y7" i="208"/>
  <c r="Y2" i="214"/>
  <c r="Y2" i="211"/>
  <c r="Y2" i="209"/>
  <c r="Y2" i="192"/>
  <c r="Y2" i="212"/>
  <c r="Y2" i="193"/>
  <c r="Y2" i="204"/>
  <c r="Y2" i="208"/>
  <c r="Y2" i="213"/>
  <c r="Y2" i="206"/>
  <c r="Y2" i="199"/>
  <c r="Y2" i="191"/>
  <c r="Y2" i="210"/>
  <c r="Y2" i="194"/>
  <c r="Y2" i="205"/>
  <c r="Y2" i="203"/>
  <c r="Y2" i="196"/>
  <c r="Y2" i="207"/>
  <c r="Y2" i="198"/>
  <c r="Y2" i="201"/>
  <c r="Y2" i="200"/>
  <c r="Y2" i="37"/>
  <c r="Y2" i="202"/>
  <c r="Y2" i="195"/>
  <c r="F3" i="73"/>
  <c r="F16" i="73" s="1"/>
  <c r="Y9" i="204"/>
  <c r="Y9" i="211"/>
  <c r="Y9" i="202"/>
  <c r="Y9" i="200"/>
  <c r="Y9" i="192"/>
  <c r="Y9" i="203"/>
  <c r="Y9" i="207"/>
  <c r="Y9" i="193"/>
  <c r="Y9" i="201"/>
  <c r="Y9" i="191"/>
  <c r="Y9" i="209"/>
  <c r="Y9" i="208"/>
  <c r="Y9" i="37"/>
  <c r="Y9" i="210"/>
  <c r="Y9" i="206"/>
  <c r="Y9" i="214"/>
  <c r="Y9" i="196"/>
  <c r="Y9" i="213"/>
  <c r="Y9" i="198"/>
  <c r="Y9" i="199"/>
  <c r="Y9" i="195"/>
  <c r="Y9" i="194"/>
  <c r="Y9" i="205"/>
  <c r="Y9" i="212"/>
  <c r="F8" i="73"/>
  <c r="F21" i="73" s="1"/>
  <c r="Y3" i="210"/>
  <c r="Y3" i="204"/>
  <c r="Y3" i="37"/>
  <c r="Y3" i="199"/>
  <c r="Y3" i="207"/>
  <c r="Y3" i="192"/>
  <c r="Y3" i="198"/>
  <c r="Y3" i="208"/>
  <c r="Y3" i="201"/>
  <c r="Y3" i="211"/>
  <c r="Y3" i="196"/>
  <c r="Y3" i="213"/>
  <c r="Y3" i="206"/>
  <c r="Y3" i="193"/>
  <c r="Y3" i="212"/>
  <c r="Y3" i="203"/>
  <c r="Y3" i="195"/>
  <c r="Y3" i="191"/>
  <c r="Y3" i="200"/>
  <c r="Y3" i="205"/>
  <c r="Y3" i="214"/>
  <c r="Y3" i="209"/>
  <c r="Y3" i="202"/>
  <c r="Y3" i="194"/>
  <c r="F9" i="73"/>
  <c r="F22" i="73" s="1"/>
  <c r="AM10" i="197" l="1"/>
  <c r="AM9" i="197"/>
  <c r="AM4" i="197"/>
  <c r="AM8" i="197"/>
  <c r="AM7" i="197"/>
  <c r="AM2" i="197"/>
  <c r="AM5" i="197"/>
  <c r="AM6" i="197"/>
  <c r="AM3" i="197"/>
  <c r="AG3" i="212"/>
  <c r="AB3" i="212"/>
  <c r="AE3" i="212"/>
  <c r="AC3" i="212"/>
  <c r="AH3" i="212"/>
  <c r="AF3" i="212"/>
  <c r="AK3" i="212"/>
  <c r="AJ3" i="212"/>
  <c r="AI3" i="212"/>
  <c r="AD3" i="212"/>
  <c r="AG3" i="198"/>
  <c r="AE3" i="198"/>
  <c r="AC3" i="198"/>
  <c r="AH3" i="198"/>
  <c r="AB3" i="198"/>
  <c r="AK3" i="198"/>
  <c r="AD3" i="198"/>
  <c r="AF3" i="198"/>
  <c r="AJ3" i="198"/>
  <c r="AI3" i="198"/>
  <c r="AG9" i="212"/>
  <c r="AK9" i="212"/>
  <c r="AJ9" i="212"/>
  <c r="AE9" i="212"/>
  <c r="AB9" i="212"/>
  <c r="AD9" i="212"/>
  <c r="AF9" i="212"/>
  <c r="AC9" i="212"/>
  <c r="AH9" i="212"/>
  <c r="AI9" i="212"/>
  <c r="AB9" i="196"/>
  <c r="AF9" i="196"/>
  <c r="AK9" i="196"/>
  <c r="AH9" i="196"/>
  <c r="AG9" i="196"/>
  <c r="AJ9" i="196"/>
  <c r="AI9" i="196"/>
  <c r="AD9" i="196"/>
  <c r="AC9" i="196"/>
  <c r="AE9" i="196"/>
  <c r="AI9" i="204"/>
  <c r="AC9" i="204"/>
  <c r="AK9" i="204"/>
  <c r="AJ9" i="204"/>
  <c r="AB9" i="204"/>
  <c r="AD9" i="204"/>
  <c r="AE9" i="204"/>
  <c r="AG9" i="204"/>
  <c r="AF9" i="204"/>
  <c r="AH9" i="204"/>
  <c r="AH4" i="37"/>
  <c r="AI4" i="37"/>
  <c r="AG4" i="37"/>
  <c r="AF4" i="37"/>
  <c r="AE4" i="37"/>
  <c r="AD4" i="37"/>
  <c r="AK4" i="37"/>
  <c r="AC4" i="37"/>
  <c r="AJ4" i="37"/>
  <c r="AB4" i="37"/>
  <c r="AI4" i="196"/>
  <c r="AH4" i="196"/>
  <c r="AE4" i="196"/>
  <c r="AG4" i="196"/>
  <c r="AC4" i="196"/>
  <c r="AJ4" i="196"/>
  <c r="AF4" i="196"/>
  <c r="AK4" i="196"/>
  <c r="AD4" i="196"/>
  <c r="AB4" i="196"/>
  <c r="AC10" i="199"/>
  <c r="AH10" i="199"/>
  <c r="AB10" i="199"/>
  <c r="AF10" i="199"/>
  <c r="AK10" i="199"/>
  <c r="AG10" i="199"/>
  <c r="AJ10" i="199"/>
  <c r="AI10" i="199"/>
  <c r="AD10" i="199"/>
  <c r="AE10" i="199"/>
  <c r="AF10" i="201"/>
  <c r="AK10" i="201"/>
  <c r="AI10" i="201"/>
  <c r="AE10" i="201"/>
  <c r="AB10" i="201"/>
  <c r="AH10" i="201"/>
  <c r="AC10" i="201"/>
  <c r="AJ10" i="201"/>
  <c r="AG10" i="201"/>
  <c r="AD10" i="201"/>
  <c r="AJ10" i="213"/>
  <c r="AK10" i="213"/>
  <c r="AB10" i="213"/>
  <c r="AE10" i="213"/>
  <c r="AH10" i="213"/>
  <c r="AF10" i="213"/>
  <c r="AC10" i="213"/>
  <c r="AG10" i="213"/>
  <c r="AI10" i="213"/>
  <c r="AD10" i="213"/>
  <c r="AE6" i="206"/>
  <c r="AH6" i="206"/>
  <c r="AJ6" i="206"/>
  <c r="AD6" i="206"/>
  <c r="AG6" i="206"/>
  <c r="AB6" i="206"/>
  <c r="AC6" i="206"/>
  <c r="AI6" i="206"/>
  <c r="AF6" i="206"/>
  <c r="AK6" i="206"/>
  <c r="AC6" i="209"/>
  <c r="AG6" i="209"/>
  <c r="AJ6" i="209"/>
  <c r="AF6" i="209"/>
  <c r="AD6" i="209"/>
  <c r="AE6" i="209"/>
  <c r="AH6" i="209"/>
  <c r="AI6" i="209"/>
  <c r="AK6" i="209"/>
  <c r="AB6" i="209"/>
  <c r="AJ6" i="196"/>
  <c r="AG6" i="196"/>
  <c r="AB6" i="196"/>
  <c r="AC6" i="196"/>
  <c r="AI6" i="196"/>
  <c r="AF6" i="196"/>
  <c r="AD6" i="196"/>
  <c r="AH6" i="196"/>
  <c r="AE6" i="196"/>
  <c r="AK6" i="196"/>
  <c r="F24" i="73"/>
  <c r="AB5" i="192"/>
  <c r="AK5" i="192"/>
  <c r="AD5" i="192"/>
  <c r="AH5" i="192"/>
  <c r="AE5" i="192"/>
  <c r="AJ5" i="192"/>
  <c r="AI5" i="192"/>
  <c r="AG5" i="192"/>
  <c r="AF5" i="192"/>
  <c r="AC5" i="192"/>
  <c r="AB5" i="201"/>
  <c r="AC5" i="201"/>
  <c r="AI5" i="201"/>
  <c r="AE5" i="201"/>
  <c r="AJ5" i="201"/>
  <c r="AD5" i="201"/>
  <c r="AK5" i="201"/>
  <c r="AF5" i="201"/>
  <c r="AH5" i="201"/>
  <c r="AG5" i="201"/>
  <c r="AC5" i="199"/>
  <c r="AD5" i="199"/>
  <c r="AH5" i="199"/>
  <c r="AE5" i="199"/>
  <c r="AJ5" i="199"/>
  <c r="AF5" i="199"/>
  <c r="AK5" i="199"/>
  <c r="AI5" i="199"/>
  <c r="AG5" i="199"/>
  <c r="AB5" i="199"/>
  <c r="AD5" i="208"/>
  <c r="AE5" i="208"/>
  <c r="AG5" i="208"/>
  <c r="AI5" i="208"/>
  <c r="AK5" i="208"/>
  <c r="AC5" i="208"/>
  <c r="AF5" i="208"/>
  <c r="AJ5" i="208"/>
  <c r="AB5" i="208"/>
  <c r="AH5" i="208"/>
  <c r="AC5" i="209"/>
  <c r="AF5" i="209"/>
  <c r="AB5" i="209"/>
  <c r="AG5" i="209"/>
  <c r="AK5" i="209"/>
  <c r="AE5" i="209"/>
  <c r="AD5" i="209"/>
  <c r="AI5" i="209"/>
  <c r="AH5" i="209"/>
  <c r="AJ5" i="209"/>
  <c r="AG5" i="214"/>
  <c r="AC5" i="214"/>
  <c r="AK5" i="214"/>
  <c r="AJ5" i="214"/>
  <c r="AD5" i="214"/>
  <c r="AH5" i="214"/>
  <c r="AI5" i="214"/>
  <c r="AB5" i="214"/>
  <c r="AF5" i="214"/>
  <c r="AE5" i="214"/>
  <c r="AJ3" i="209"/>
  <c r="AE3" i="209"/>
  <c r="AG3" i="209"/>
  <c r="AC3" i="209"/>
  <c r="AB3" i="209"/>
  <c r="AK3" i="209"/>
  <c r="AD3" i="209"/>
  <c r="AH3" i="209"/>
  <c r="AF3" i="209"/>
  <c r="AI3" i="209"/>
  <c r="AD3" i="191"/>
  <c r="AB3" i="191"/>
  <c r="AE3" i="191"/>
  <c r="AF3" i="191"/>
  <c r="AK3" i="191"/>
  <c r="AH3" i="191"/>
  <c r="AI3" i="191"/>
  <c r="AJ3" i="191"/>
  <c r="AG3" i="191"/>
  <c r="AC3" i="191"/>
  <c r="AF3" i="193"/>
  <c r="AG3" i="193"/>
  <c r="AE3" i="193"/>
  <c r="AK3" i="193"/>
  <c r="AH3" i="193"/>
  <c r="AC3" i="193"/>
  <c r="AB3" i="193"/>
  <c r="AI3" i="193"/>
  <c r="AD3" i="193"/>
  <c r="AJ3" i="193"/>
  <c r="AG3" i="211"/>
  <c r="AD3" i="211"/>
  <c r="AB3" i="211"/>
  <c r="AF3" i="211"/>
  <c r="AJ3" i="211"/>
  <c r="AK3" i="211"/>
  <c r="AH3" i="211"/>
  <c r="AI3" i="211"/>
  <c r="AC3" i="211"/>
  <c r="AE3" i="211"/>
  <c r="AG3" i="192"/>
  <c r="AF3" i="192"/>
  <c r="AH3" i="192"/>
  <c r="AI3" i="192"/>
  <c r="AE3" i="192"/>
  <c r="AJ3" i="192"/>
  <c r="AB3" i="192"/>
  <c r="AC3" i="192"/>
  <c r="AD3" i="192"/>
  <c r="AK3" i="192"/>
  <c r="AD3" i="204"/>
  <c r="AJ3" i="204"/>
  <c r="AC3" i="204"/>
  <c r="AB3" i="204"/>
  <c r="AI3" i="204"/>
  <c r="AE3" i="204"/>
  <c r="AF3" i="204"/>
  <c r="AH3" i="204"/>
  <c r="AK3" i="204"/>
  <c r="AG3" i="204"/>
  <c r="AG9" i="199"/>
  <c r="AE9" i="199"/>
  <c r="AH9" i="199"/>
  <c r="AC9" i="199"/>
  <c r="AI9" i="199"/>
  <c r="AK9" i="199"/>
  <c r="AB9" i="199"/>
  <c r="AJ9" i="199"/>
  <c r="AD9" i="199"/>
  <c r="AF9" i="199"/>
  <c r="AH9" i="214"/>
  <c r="AI9" i="214"/>
  <c r="AD9" i="214"/>
  <c r="AF9" i="214"/>
  <c r="AJ9" i="214"/>
  <c r="AE9" i="214"/>
  <c r="AK9" i="214"/>
  <c r="AB9" i="214"/>
  <c r="AC9" i="214"/>
  <c r="AG9" i="214"/>
  <c r="AD9" i="208"/>
  <c r="AK9" i="208"/>
  <c r="AB9" i="208"/>
  <c r="AF9" i="208"/>
  <c r="AH9" i="208"/>
  <c r="AE9" i="208"/>
  <c r="AC9" i="208"/>
  <c r="AI9" i="208"/>
  <c r="AJ9" i="208"/>
  <c r="AG9" i="208"/>
  <c r="AI9" i="193"/>
  <c r="AK9" i="193"/>
  <c r="AC9" i="193"/>
  <c r="AF9" i="193"/>
  <c r="AB9" i="193"/>
  <c r="AG9" i="193"/>
  <c r="AD9" i="193"/>
  <c r="AJ9" i="193"/>
  <c r="AE9" i="193"/>
  <c r="AH9" i="193"/>
  <c r="AI9" i="200"/>
  <c r="AH9" i="200"/>
  <c r="AJ9" i="200"/>
  <c r="AC9" i="200"/>
  <c r="AK9" i="200"/>
  <c r="AD9" i="200"/>
  <c r="AF9" i="200"/>
  <c r="AG9" i="200"/>
  <c r="AB9" i="200"/>
  <c r="AE9" i="200"/>
  <c r="AG2" i="200"/>
  <c r="AE2" i="200"/>
  <c r="AF2" i="200"/>
  <c r="AC2" i="200"/>
  <c r="AI2" i="200"/>
  <c r="AK2" i="200"/>
  <c r="AB2" i="200"/>
  <c r="AD2" i="200"/>
  <c r="AJ2" i="200"/>
  <c r="AH2" i="200"/>
  <c r="AJ2" i="196"/>
  <c r="AF2" i="196"/>
  <c r="AK2" i="196"/>
  <c r="AH2" i="196"/>
  <c r="AE2" i="196"/>
  <c r="AG2" i="196"/>
  <c r="AI2" i="196"/>
  <c r="AC2" i="196"/>
  <c r="AB2" i="196"/>
  <c r="AD2" i="196"/>
  <c r="AH2" i="210"/>
  <c r="AB2" i="210"/>
  <c r="AC2" i="210"/>
  <c r="AE2" i="210"/>
  <c r="AD2" i="210"/>
  <c r="AF2" i="210"/>
  <c r="AK2" i="210"/>
  <c r="AI2" i="210"/>
  <c r="AG2" i="210"/>
  <c r="AJ2" i="210"/>
  <c r="AK2" i="213"/>
  <c r="AI2" i="213"/>
  <c r="AB2" i="213"/>
  <c r="AH2" i="213"/>
  <c r="AJ2" i="213"/>
  <c r="AD2" i="213"/>
  <c r="AC2" i="213"/>
  <c r="AF2" i="213"/>
  <c r="AG2" i="213"/>
  <c r="AE2" i="213"/>
  <c r="AG2" i="212"/>
  <c r="AI2" i="212"/>
  <c r="AH2" i="212"/>
  <c r="AJ2" i="212"/>
  <c r="AE2" i="212"/>
  <c r="AC2" i="212"/>
  <c r="AB2" i="212"/>
  <c r="AK2" i="212"/>
  <c r="AF2" i="212"/>
  <c r="AD2" i="212"/>
  <c r="AC2" i="211"/>
  <c r="AI2" i="211"/>
  <c r="AH2" i="211"/>
  <c r="AF2" i="211"/>
  <c r="AB2" i="211"/>
  <c r="AE2" i="211"/>
  <c r="AK2" i="211"/>
  <c r="AJ2" i="211"/>
  <c r="AD2" i="211"/>
  <c r="AG2" i="211"/>
  <c r="AB7" i="209"/>
  <c r="AK7" i="209"/>
  <c r="AJ7" i="209"/>
  <c r="AE7" i="209"/>
  <c r="AI7" i="209"/>
  <c r="AG7" i="209"/>
  <c r="AH7" i="209"/>
  <c r="AC7" i="209"/>
  <c r="AD7" i="209"/>
  <c r="AF7" i="209"/>
  <c r="AF7" i="193"/>
  <c r="AD7" i="193"/>
  <c r="AB7" i="193"/>
  <c r="AJ7" i="193"/>
  <c r="AK7" i="193"/>
  <c r="AI7" i="193"/>
  <c r="AH7" i="193"/>
  <c r="AG7" i="193"/>
  <c r="AC7" i="193"/>
  <c r="AE7" i="193"/>
  <c r="AK7" i="205"/>
  <c r="AB7" i="205"/>
  <c r="AD7" i="205"/>
  <c r="AF7" i="205"/>
  <c r="AJ7" i="205"/>
  <c r="AG7" i="205"/>
  <c r="AI7" i="205"/>
  <c r="AC7" i="205"/>
  <c r="AH7" i="205"/>
  <c r="AE7" i="205"/>
  <c r="AB7" i="194"/>
  <c r="AI7" i="194"/>
  <c r="AC7" i="194"/>
  <c r="AG7" i="194"/>
  <c r="AK7" i="194"/>
  <c r="AF7" i="194"/>
  <c r="AJ7" i="194"/>
  <c r="AH7" i="194"/>
  <c r="AE7" i="194"/>
  <c r="AD7" i="194"/>
  <c r="AG7" i="192"/>
  <c r="AI7" i="192"/>
  <c r="AE7" i="192"/>
  <c r="AC7" i="192"/>
  <c r="AB7" i="192"/>
  <c r="AK7" i="192"/>
  <c r="AJ7" i="192"/>
  <c r="AH7" i="192"/>
  <c r="AF7" i="192"/>
  <c r="AD7" i="192"/>
  <c r="AE8" i="214"/>
  <c r="AG8" i="214"/>
  <c r="AK8" i="214"/>
  <c r="AC8" i="214"/>
  <c r="AH8" i="214"/>
  <c r="AJ8" i="214"/>
  <c r="AD8" i="214"/>
  <c r="AI8" i="214"/>
  <c r="AF8" i="214"/>
  <c r="AB8" i="214"/>
  <c r="AH8" i="203"/>
  <c r="AK8" i="203"/>
  <c r="AC8" i="203"/>
  <c r="AB8" i="203"/>
  <c r="AE8" i="203"/>
  <c r="AD8" i="203"/>
  <c r="AF8" i="203"/>
  <c r="AI8" i="203"/>
  <c r="AJ8" i="203"/>
  <c r="AG8" i="203"/>
  <c r="AH8" i="198"/>
  <c r="AJ8" i="198"/>
  <c r="AF8" i="198"/>
  <c r="AD8" i="198"/>
  <c r="AE8" i="198"/>
  <c r="AB8" i="198"/>
  <c r="AG8" i="198"/>
  <c r="AI8" i="198"/>
  <c r="AC8" i="198"/>
  <c r="AK8" i="198"/>
  <c r="AG8" i="37"/>
  <c r="AI8" i="37"/>
  <c r="AC8" i="37"/>
  <c r="AF8" i="37"/>
  <c r="AK8" i="37"/>
  <c r="AH8" i="37"/>
  <c r="AD8" i="37"/>
  <c r="AB8" i="37"/>
  <c r="AE8" i="37"/>
  <c r="AJ8" i="37"/>
  <c r="AH8" i="213"/>
  <c r="AJ8" i="213"/>
  <c r="AK8" i="213"/>
  <c r="AF8" i="213"/>
  <c r="AE8" i="213"/>
  <c r="AI8" i="213"/>
  <c r="AB8" i="213"/>
  <c r="AC8" i="213"/>
  <c r="AD8" i="213"/>
  <c r="AG8" i="213"/>
  <c r="AG8" i="201"/>
  <c r="AI8" i="201"/>
  <c r="AH8" i="201"/>
  <c r="AB8" i="201"/>
  <c r="AF8" i="201"/>
  <c r="AJ8" i="201"/>
  <c r="AK8" i="201"/>
  <c r="AC8" i="201"/>
  <c r="AE8" i="201"/>
  <c r="AD8" i="201"/>
  <c r="AG8" i="191"/>
  <c r="AD8" i="191"/>
  <c r="AC8" i="191"/>
  <c r="AK8" i="191"/>
  <c r="AB8" i="191"/>
  <c r="AE8" i="191"/>
  <c r="AH8" i="191"/>
  <c r="AI8" i="191"/>
  <c r="AF8" i="191"/>
  <c r="AJ8" i="191"/>
  <c r="AB4" i="204"/>
  <c r="AJ4" i="204"/>
  <c r="AI4" i="204"/>
  <c r="AK4" i="204"/>
  <c r="AH4" i="204"/>
  <c r="AC4" i="204"/>
  <c r="AF4" i="204"/>
  <c r="AD4" i="204"/>
  <c r="AG4" i="204"/>
  <c r="AE4" i="204"/>
  <c r="AJ4" i="212"/>
  <c r="AE4" i="212"/>
  <c r="AC4" i="212"/>
  <c r="AD4" i="212"/>
  <c r="AK4" i="212"/>
  <c r="AF4" i="212"/>
  <c r="AB4" i="212"/>
  <c r="AG4" i="212"/>
  <c r="AH4" i="212"/>
  <c r="AI4" i="212"/>
  <c r="AG4" i="193"/>
  <c r="AD4" i="193"/>
  <c r="AE4" i="193"/>
  <c r="AK4" i="193"/>
  <c r="AJ4" i="193"/>
  <c r="AF4" i="193"/>
  <c r="AB4" i="193"/>
  <c r="AC4" i="193"/>
  <c r="AI4" i="193"/>
  <c r="AH4" i="193"/>
  <c r="AJ4" i="199"/>
  <c r="AE4" i="199"/>
  <c r="AK4" i="199"/>
  <c r="AH4" i="199"/>
  <c r="AI4" i="199"/>
  <c r="AF4" i="199"/>
  <c r="AD4" i="199"/>
  <c r="AB4" i="199"/>
  <c r="AG4" i="199"/>
  <c r="AC4" i="199"/>
  <c r="AE4" i="206"/>
  <c r="AD4" i="206"/>
  <c r="AC4" i="206"/>
  <c r="AK4" i="206"/>
  <c r="AJ4" i="206"/>
  <c r="AG4" i="206"/>
  <c r="AI4" i="206"/>
  <c r="AB4" i="206"/>
  <c r="AF4" i="206"/>
  <c r="AH4" i="206"/>
  <c r="AC4" i="208"/>
  <c r="AH4" i="208"/>
  <c r="AK4" i="208"/>
  <c r="AG4" i="208"/>
  <c r="AI4" i="208"/>
  <c r="AB4" i="208"/>
  <c r="AF4" i="208"/>
  <c r="AD4" i="208"/>
  <c r="AE4" i="208"/>
  <c r="AJ4" i="208"/>
  <c r="AG4" i="213"/>
  <c r="AB4" i="213"/>
  <c r="AD4" i="213"/>
  <c r="AE4" i="213"/>
  <c r="AI4" i="213"/>
  <c r="AK4" i="213"/>
  <c r="AF4" i="213"/>
  <c r="AJ4" i="213"/>
  <c r="AC4" i="213"/>
  <c r="AH4" i="213"/>
  <c r="AI10" i="208"/>
  <c r="AJ10" i="208"/>
  <c r="AC10" i="208"/>
  <c r="AH10" i="208"/>
  <c r="AG10" i="208"/>
  <c r="AK10" i="208"/>
  <c r="AE10" i="208"/>
  <c r="AD10" i="208"/>
  <c r="AF10" i="208"/>
  <c r="AB10" i="208"/>
  <c r="AB10" i="196"/>
  <c r="AF10" i="196"/>
  <c r="AH10" i="196"/>
  <c r="AJ10" i="196"/>
  <c r="AK10" i="196"/>
  <c r="AE10" i="196"/>
  <c r="AC10" i="196"/>
  <c r="AD10" i="196"/>
  <c r="AG10" i="196"/>
  <c r="AI10" i="196"/>
  <c r="AB10" i="191"/>
  <c r="AI10" i="191"/>
  <c r="AC10" i="191"/>
  <c r="AE10" i="191"/>
  <c r="AG10" i="191"/>
  <c r="AJ10" i="191"/>
  <c r="AH10" i="191"/>
  <c r="AD10" i="191"/>
  <c r="AK10" i="191"/>
  <c r="AF10" i="191"/>
  <c r="AJ10" i="207"/>
  <c r="AH10" i="207"/>
  <c r="AE10" i="207"/>
  <c r="AF10" i="207"/>
  <c r="AD10" i="207"/>
  <c r="AG10" i="207"/>
  <c r="AI10" i="207"/>
  <c r="AC10" i="207"/>
  <c r="AK10" i="207"/>
  <c r="AB10" i="207"/>
  <c r="AC10" i="194"/>
  <c r="AD10" i="194"/>
  <c r="AF10" i="194"/>
  <c r="AI10" i="194"/>
  <c r="AJ10" i="194"/>
  <c r="AE10" i="194"/>
  <c r="AH10" i="194"/>
  <c r="AK10" i="194"/>
  <c r="AG10" i="194"/>
  <c r="AB10" i="194"/>
  <c r="AE10" i="203"/>
  <c r="AI10" i="203"/>
  <c r="AF10" i="203"/>
  <c r="AD10" i="203"/>
  <c r="AC10" i="203"/>
  <c r="AG10" i="203"/>
  <c r="AB10" i="203"/>
  <c r="AH10" i="203"/>
  <c r="AJ10" i="203"/>
  <c r="AK10" i="203"/>
  <c r="AE6" i="192"/>
  <c r="AD6" i="192"/>
  <c r="AI6" i="192"/>
  <c r="AB6" i="192"/>
  <c r="AH6" i="192"/>
  <c r="AF6" i="192"/>
  <c r="AC6" i="192"/>
  <c r="AK6" i="192"/>
  <c r="AG6" i="192"/>
  <c r="AJ6" i="192"/>
  <c r="AH6" i="37"/>
  <c r="AK6" i="37"/>
  <c r="AG6" i="37"/>
  <c r="AJ6" i="37"/>
  <c r="AF6" i="37"/>
  <c r="AE6" i="37"/>
  <c r="AI6" i="37"/>
  <c r="AC6" i="37"/>
  <c r="AD6" i="37"/>
  <c r="AB6" i="37"/>
  <c r="AE6" i="198"/>
  <c r="AB6" i="198"/>
  <c r="AH6" i="198"/>
  <c r="AJ6" i="198"/>
  <c r="AC6" i="198"/>
  <c r="AD6" i="198"/>
  <c r="AI6" i="198"/>
  <c r="AF6" i="198"/>
  <c r="AG6" i="198"/>
  <c r="AK6" i="198"/>
  <c r="AH6" i="212"/>
  <c r="AG6" i="212"/>
  <c r="AD6" i="212"/>
  <c r="AC6" i="212"/>
  <c r="AF6" i="212"/>
  <c r="AJ6" i="212"/>
  <c r="AK6" i="212"/>
  <c r="AI6" i="212"/>
  <c r="AE6" i="212"/>
  <c r="AB6" i="212"/>
  <c r="AJ6" i="213"/>
  <c r="AC6" i="213"/>
  <c r="AB6" i="213"/>
  <c r="AE6" i="213"/>
  <c r="AH6" i="213"/>
  <c r="AK6" i="213"/>
  <c r="AD6" i="213"/>
  <c r="AF6" i="213"/>
  <c r="AG6" i="213"/>
  <c r="AI6" i="213"/>
  <c r="AI5" i="202"/>
  <c r="AD5" i="202"/>
  <c r="AK5" i="202"/>
  <c r="AG5" i="202"/>
  <c r="AE5" i="202"/>
  <c r="AB5" i="202"/>
  <c r="AJ5" i="202"/>
  <c r="AC5" i="202"/>
  <c r="AH5" i="202"/>
  <c r="AF5" i="202"/>
  <c r="AB5" i="198"/>
  <c r="AK5" i="198"/>
  <c r="AI5" i="198"/>
  <c r="AG5" i="198"/>
  <c r="AF5" i="198"/>
  <c r="AD5" i="198"/>
  <c r="AE5" i="198"/>
  <c r="AJ5" i="198"/>
  <c r="AC5" i="198"/>
  <c r="AH5" i="198"/>
  <c r="AC5" i="210"/>
  <c r="AE5" i="210"/>
  <c r="AH5" i="210"/>
  <c r="AK5" i="210"/>
  <c r="AF5" i="210"/>
  <c r="AI5" i="210"/>
  <c r="AG5" i="210"/>
  <c r="AJ5" i="210"/>
  <c r="AD5" i="210"/>
  <c r="AB5" i="210"/>
  <c r="AK5" i="194"/>
  <c r="AI5" i="194"/>
  <c r="AG5" i="194"/>
  <c r="AJ5" i="194"/>
  <c r="AH5" i="194"/>
  <c r="AD5" i="194"/>
  <c r="AE5" i="194"/>
  <c r="AC5" i="194"/>
  <c r="AF5" i="194"/>
  <c r="AB5" i="194"/>
  <c r="AE5" i="213"/>
  <c r="AF5" i="213"/>
  <c r="AK5" i="213"/>
  <c r="AH5" i="213"/>
  <c r="AD5" i="213"/>
  <c r="AI5" i="213"/>
  <c r="AB5" i="213"/>
  <c r="AG5" i="213"/>
  <c r="AC5" i="213"/>
  <c r="AJ5" i="213"/>
  <c r="AI5" i="195"/>
  <c r="AB5" i="195"/>
  <c r="AH5" i="195"/>
  <c r="AF5" i="195"/>
  <c r="AD5" i="195"/>
  <c r="AK5" i="195"/>
  <c r="AG5" i="195"/>
  <c r="AC5" i="195"/>
  <c r="AE5" i="195"/>
  <c r="AJ5" i="195"/>
  <c r="AG3" i="200"/>
  <c r="AJ3" i="200"/>
  <c r="AI3" i="200"/>
  <c r="AB3" i="200"/>
  <c r="AD3" i="200"/>
  <c r="AK3" i="200"/>
  <c r="AC3" i="200"/>
  <c r="AF3" i="200"/>
  <c r="AH3" i="200"/>
  <c r="AE3" i="200"/>
  <c r="AK8" i="192"/>
  <c r="AB8" i="192"/>
  <c r="AG8" i="192"/>
  <c r="AD8" i="192"/>
  <c r="AH8" i="192"/>
  <c r="AE8" i="192"/>
  <c r="AI8" i="192"/>
  <c r="AJ8" i="192"/>
  <c r="AC8" i="192"/>
  <c r="AF8" i="192"/>
  <c r="AB8" i="206"/>
  <c r="AI8" i="206"/>
  <c r="AF8" i="206"/>
  <c r="AE8" i="206"/>
  <c r="AH8" i="206"/>
  <c r="AC8" i="206"/>
  <c r="AJ8" i="206"/>
  <c r="AK8" i="206"/>
  <c r="AG8" i="206"/>
  <c r="AD8" i="206"/>
  <c r="AD4" i="210"/>
  <c r="AI4" i="210"/>
  <c r="AE4" i="210"/>
  <c r="AF4" i="210"/>
  <c r="AJ4" i="210"/>
  <c r="AG4" i="210"/>
  <c r="AH4" i="210"/>
  <c r="AK4" i="210"/>
  <c r="AC4" i="210"/>
  <c r="AB4" i="210"/>
  <c r="AB6" i="211"/>
  <c r="AF6" i="211"/>
  <c r="AH6" i="211"/>
  <c r="AJ6" i="211"/>
  <c r="AG6" i="211"/>
  <c r="AI6" i="211"/>
  <c r="AD6" i="211"/>
  <c r="AK6" i="211"/>
  <c r="AE6" i="211"/>
  <c r="AC6" i="211"/>
  <c r="AE3" i="214"/>
  <c r="AH3" i="214"/>
  <c r="AK3" i="214"/>
  <c r="AB3" i="214"/>
  <c r="AF3" i="214"/>
  <c r="AI3" i="214"/>
  <c r="AJ3" i="214"/>
  <c r="AG3" i="214"/>
  <c r="AC3" i="214"/>
  <c r="AD3" i="214"/>
  <c r="AI3" i="195"/>
  <c r="AK3" i="195"/>
  <c r="AD3" i="195"/>
  <c r="AG3" i="195"/>
  <c r="AB3" i="195"/>
  <c r="AC3" i="195"/>
  <c r="AJ3" i="195"/>
  <c r="AE3" i="195"/>
  <c r="AF3" i="195"/>
  <c r="AH3" i="195"/>
  <c r="AG3" i="206"/>
  <c r="AJ3" i="206"/>
  <c r="AH3" i="206"/>
  <c r="AB3" i="206"/>
  <c r="AK3" i="206"/>
  <c r="AD3" i="206"/>
  <c r="AC3" i="206"/>
  <c r="AE3" i="206"/>
  <c r="AF3" i="206"/>
  <c r="AI3" i="206"/>
  <c r="AB3" i="201"/>
  <c r="AK3" i="201"/>
  <c r="AF3" i="201"/>
  <c r="AG3" i="201"/>
  <c r="AI3" i="201"/>
  <c r="AH3" i="201"/>
  <c r="AE3" i="201"/>
  <c r="AJ3" i="201"/>
  <c r="AD3" i="201"/>
  <c r="AC3" i="201"/>
  <c r="AC3" i="207"/>
  <c r="AD3" i="207"/>
  <c r="AJ3" i="207"/>
  <c r="AG3" i="207"/>
  <c r="AE3" i="207"/>
  <c r="AI3" i="207"/>
  <c r="AH3" i="207"/>
  <c r="AK3" i="207"/>
  <c r="AB3" i="207"/>
  <c r="AF3" i="207"/>
  <c r="AG3" i="210"/>
  <c r="AD3" i="210"/>
  <c r="AH3" i="210"/>
  <c r="AF3" i="210"/>
  <c r="AE3" i="210"/>
  <c r="AK3" i="210"/>
  <c r="AI3" i="210"/>
  <c r="AC3" i="210"/>
  <c r="AJ3" i="210"/>
  <c r="AB3" i="210"/>
  <c r="AB9" i="205"/>
  <c r="AG9" i="205"/>
  <c r="AH9" i="205"/>
  <c r="AC9" i="205"/>
  <c r="AF9" i="205"/>
  <c r="AE9" i="205"/>
  <c r="AD9" i="205"/>
  <c r="AK9" i="205"/>
  <c r="AJ9" i="205"/>
  <c r="AI9" i="205"/>
  <c r="AI9" i="198"/>
  <c r="AC9" i="198"/>
  <c r="AB9" i="198"/>
  <c r="AG9" i="198"/>
  <c r="AE9" i="198"/>
  <c r="AH9" i="198"/>
  <c r="AJ9" i="198"/>
  <c r="AD9" i="198"/>
  <c r="AF9" i="198"/>
  <c r="AK9" i="198"/>
  <c r="AB9" i="206"/>
  <c r="AI9" i="206"/>
  <c r="AE9" i="206"/>
  <c r="AK9" i="206"/>
  <c r="AH9" i="206"/>
  <c r="AG9" i="206"/>
  <c r="AJ9" i="206"/>
  <c r="AD9" i="206"/>
  <c r="AF9" i="206"/>
  <c r="AC9" i="206"/>
  <c r="AG9" i="209"/>
  <c r="AJ9" i="209"/>
  <c r="AH9" i="209"/>
  <c r="AB9" i="209"/>
  <c r="AD9" i="209"/>
  <c r="AE9" i="209"/>
  <c r="AF9" i="209"/>
  <c r="AK9" i="209"/>
  <c r="AI9" i="209"/>
  <c r="AC9" i="209"/>
  <c r="AK9" i="207"/>
  <c r="AH9" i="207"/>
  <c r="AE9" i="207"/>
  <c r="AC9" i="207"/>
  <c r="AD9" i="207"/>
  <c r="AJ9" i="207"/>
  <c r="AI9" i="207"/>
  <c r="AG9" i="207"/>
  <c r="AF9" i="207"/>
  <c r="AB9" i="207"/>
  <c r="AK9" i="202"/>
  <c r="AC9" i="202"/>
  <c r="AD9" i="202"/>
  <c r="AF9" i="202"/>
  <c r="AE9" i="202"/>
  <c r="AJ9" i="202"/>
  <c r="AB9" i="202"/>
  <c r="AG9" i="202"/>
  <c r="AI9" i="202"/>
  <c r="AH9" i="202"/>
  <c r="AK2" i="195"/>
  <c r="AJ2" i="195"/>
  <c r="AI2" i="195"/>
  <c r="AH2" i="195"/>
  <c r="AD2" i="195"/>
  <c r="AF2" i="195"/>
  <c r="AG2" i="195"/>
  <c r="AC2" i="195"/>
  <c r="AB2" i="195"/>
  <c r="AE2" i="195"/>
  <c r="AK2" i="201"/>
  <c r="AB2" i="201"/>
  <c r="AD2" i="201"/>
  <c r="AJ2" i="201"/>
  <c r="AF2" i="201"/>
  <c r="AH2" i="201"/>
  <c r="AC2" i="201"/>
  <c r="AE2" i="201"/>
  <c r="AI2" i="201"/>
  <c r="AG2" i="201"/>
  <c r="AH2" i="203"/>
  <c r="AK2" i="203"/>
  <c r="AB2" i="203"/>
  <c r="AJ2" i="203"/>
  <c r="AG2" i="203"/>
  <c r="AD2" i="203"/>
  <c r="AE2" i="203"/>
  <c r="AI2" i="203"/>
  <c r="AF2" i="203"/>
  <c r="AC2" i="203"/>
  <c r="AI2" i="191"/>
  <c r="AH2" i="191"/>
  <c r="AG2" i="191"/>
  <c r="AF2" i="191"/>
  <c r="AE2" i="191"/>
  <c r="AB2" i="191"/>
  <c r="AK2" i="191"/>
  <c r="AJ2" i="191"/>
  <c r="AC2" i="191"/>
  <c r="AD2" i="191"/>
  <c r="AJ2" i="208"/>
  <c r="AD2" i="208"/>
  <c r="AH2" i="208"/>
  <c r="AE2" i="208"/>
  <c r="AI2" i="208"/>
  <c r="AF2" i="208"/>
  <c r="AB2" i="208"/>
  <c r="AK2" i="208"/>
  <c r="AC2" i="208"/>
  <c r="AG2" i="208"/>
  <c r="AD2" i="214"/>
  <c r="AH2" i="214"/>
  <c r="AC2" i="214"/>
  <c r="AF2" i="214"/>
  <c r="AJ2" i="214"/>
  <c r="AG2" i="214"/>
  <c r="AB2" i="214"/>
  <c r="AI2" i="214"/>
  <c r="AK2" i="214"/>
  <c r="AE2" i="214"/>
  <c r="AB7" i="191"/>
  <c r="AC7" i="191"/>
  <c r="AD7" i="191"/>
  <c r="AJ7" i="191"/>
  <c r="AE7" i="191"/>
  <c r="AI7" i="191"/>
  <c r="AK7" i="191"/>
  <c r="AH7" i="191"/>
  <c r="AG7" i="191"/>
  <c r="AF7" i="191"/>
  <c r="AE7" i="196"/>
  <c r="AD7" i="196"/>
  <c r="AI7" i="196"/>
  <c r="AG7" i="196"/>
  <c r="AK7" i="196"/>
  <c r="AC7" i="196"/>
  <c r="AF7" i="196"/>
  <c r="AB7" i="196"/>
  <c r="AJ7" i="196"/>
  <c r="AH7" i="196"/>
  <c r="AC7" i="203"/>
  <c r="AG7" i="203"/>
  <c r="AK7" i="203"/>
  <c r="AE7" i="203"/>
  <c r="AD7" i="203"/>
  <c r="AB7" i="203"/>
  <c r="AH7" i="203"/>
  <c r="AF7" i="203"/>
  <c r="AI7" i="203"/>
  <c r="AJ7" i="203"/>
  <c r="AC7" i="37"/>
  <c r="AK7" i="37"/>
  <c r="AG7" i="37"/>
  <c r="AB7" i="37"/>
  <c r="AF7" i="37"/>
  <c r="AE7" i="37"/>
  <c r="AI7" i="37"/>
  <c r="AH7" i="37"/>
  <c r="AJ7" i="37"/>
  <c r="AD7" i="37"/>
  <c r="AD7" i="204"/>
  <c r="AC7" i="204"/>
  <c r="AF7" i="204"/>
  <c r="AI7" i="204"/>
  <c r="AH7" i="204"/>
  <c r="AB7" i="204"/>
  <c r="AG7" i="204"/>
  <c r="AK7" i="204"/>
  <c r="AE7" i="204"/>
  <c r="AJ7" i="204"/>
  <c r="AD7" i="211"/>
  <c r="AE7" i="211"/>
  <c r="AF7" i="211"/>
  <c r="AH7" i="211"/>
  <c r="AG7" i="211"/>
  <c r="AI7" i="211"/>
  <c r="AK7" i="211"/>
  <c r="AB7" i="211"/>
  <c r="AJ7" i="211"/>
  <c r="AC7" i="211"/>
  <c r="AC8" i="208"/>
  <c r="AF8" i="208"/>
  <c r="AH8" i="208"/>
  <c r="AI8" i="208"/>
  <c r="AJ8" i="208"/>
  <c r="AE8" i="208"/>
  <c r="AK8" i="208"/>
  <c r="AD8" i="208"/>
  <c r="AB8" i="208"/>
  <c r="AG8" i="208"/>
  <c r="AF8" i="196"/>
  <c r="AJ8" i="196"/>
  <c r="AE8" i="196"/>
  <c r="AC8" i="196"/>
  <c r="AK8" i="196"/>
  <c r="AB8" i="196"/>
  <c r="AG8" i="196"/>
  <c r="AD8" i="196"/>
  <c r="AH8" i="196"/>
  <c r="AI8" i="196"/>
  <c r="AK8" i="194"/>
  <c r="AE8" i="194"/>
  <c r="AB8" i="194"/>
  <c r="AH8" i="194"/>
  <c r="AI8" i="194"/>
  <c r="AC8" i="194"/>
  <c r="AJ8" i="194"/>
  <c r="AG8" i="194"/>
  <c r="AF8" i="194"/>
  <c r="AD8" i="194"/>
  <c r="AD8" i="211"/>
  <c r="AF8" i="211"/>
  <c r="AC8" i="211"/>
  <c r="AB8" i="211"/>
  <c r="AK8" i="211"/>
  <c r="AJ8" i="211"/>
  <c r="AH8" i="211"/>
  <c r="AE8" i="211"/>
  <c r="AG8" i="211"/>
  <c r="AI8" i="211"/>
  <c r="AJ8" i="207"/>
  <c r="AC8" i="207"/>
  <c r="AE8" i="207"/>
  <c r="AG8" i="207"/>
  <c r="AI8" i="207"/>
  <c r="AH8" i="207"/>
  <c r="AK8" i="207"/>
  <c r="AF8" i="207"/>
  <c r="AD8" i="207"/>
  <c r="AB8" i="207"/>
  <c r="AB4" i="202"/>
  <c r="AK4" i="202"/>
  <c r="AJ4" i="202"/>
  <c r="AD4" i="202"/>
  <c r="AC4" i="202"/>
  <c r="AF4" i="202"/>
  <c r="AH4" i="202"/>
  <c r="AG4" i="202"/>
  <c r="AI4" i="202"/>
  <c r="AE4" i="202"/>
  <c r="AJ4" i="191"/>
  <c r="AH4" i="191"/>
  <c r="AB4" i="191"/>
  <c r="AD4" i="191"/>
  <c r="AK4" i="191"/>
  <c r="AI4" i="191"/>
  <c r="AC4" i="191"/>
  <c r="AG4" i="191"/>
  <c r="AE4" i="191"/>
  <c r="AF4" i="191"/>
  <c r="AH4" i="211"/>
  <c r="AE4" i="211"/>
  <c r="AJ4" i="211"/>
  <c r="AG4" i="211"/>
  <c r="AF4" i="211"/>
  <c r="AK4" i="211"/>
  <c r="AD4" i="211"/>
  <c r="AB4" i="211"/>
  <c r="AC4" i="211"/>
  <c r="AI4" i="211"/>
  <c r="AH4" i="198"/>
  <c r="AI4" i="198"/>
  <c r="AJ4" i="198"/>
  <c r="AF4" i="198"/>
  <c r="AG4" i="198"/>
  <c r="AD4" i="198"/>
  <c r="AB4" i="198"/>
  <c r="AE4" i="198"/>
  <c r="AC4" i="198"/>
  <c r="AK4" i="198"/>
  <c r="AK4" i="203"/>
  <c r="AI4" i="203"/>
  <c r="AJ4" i="203"/>
  <c r="AF4" i="203"/>
  <c r="AE4" i="203"/>
  <c r="AG4" i="203"/>
  <c r="AB4" i="203"/>
  <c r="AC4" i="203"/>
  <c r="AD4" i="203"/>
  <c r="AH4" i="203"/>
  <c r="AE10" i="205"/>
  <c r="AI10" i="205"/>
  <c r="AJ10" i="205"/>
  <c r="AG10" i="205"/>
  <c r="AC10" i="205"/>
  <c r="AH10" i="205"/>
  <c r="AK10" i="205"/>
  <c r="AF10" i="205"/>
  <c r="AB10" i="205"/>
  <c r="AD10" i="205"/>
  <c r="AH10" i="193"/>
  <c r="AK10" i="193"/>
  <c r="AG10" i="193"/>
  <c r="AE10" i="193"/>
  <c r="AI10" i="193"/>
  <c r="AJ10" i="193"/>
  <c r="AB10" i="193"/>
  <c r="AD10" i="193"/>
  <c r="AC10" i="193"/>
  <c r="AF10" i="193"/>
  <c r="AD10" i="37"/>
  <c r="AJ10" i="37"/>
  <c r="AE10" i="37"/>
  <c r="AG10" i="37"/>
  <c r="AF10" i="37"/>
  <c r="AC10" i="37"/>
  <c r="AH10" i="37"/>
  <c r="AB10" i="37"/>
  <c r="AI10" i="37"/>
  <c r="AK10" i="37"/>
  <c r="AB10" i="214"/>
  <c r="AG10" i="214"/>
  <c r="AJ10" i="214"/>
  <c r="AC10" i="214"/>
  <c r="AH10" i="214"/>
  <c r="AI10" i="214"/>
  <c r="AK10" i="214"/>
  <c r="AE10" i="214"/>
  <c r="AD10" i="214"/>
  <c r="AF10" i="214"/>
  <c r="AH10" i="210"/>
  <c r="AC10" i="210"/>
  <c r="AJ10" i="210"/>
  <c r="AF10" i="210"/>
  <c r="AG10" i="210"/>
  <c r="AI10" i="210"/>
  <c r="AD10" i="210"/>
  <c r="AE10" i="210"/>
  <c r="AB10" i="210"/>
  <c r="AK10" i="210"/>
  <c r="AI10" i="202"/>
  <c r="AE10" i="202"/>
  <c r="AD10" i="202"/>
  <c r="AH10" i="202"/>
  <c r="AC10" i="202"/>
  <c r="AB10" i="202"/>
  <c r="AF10" i="202"/>
  <c r="AK10" i="202"/>
  <c r="AG10" i="202"/>
  <c r="AJ10" i="202"/>
  <c r="AE6" i="201"/>
  <c r="AG6" i="201"/>
  <c r="AH6" i="201"/>
  <c r="AI6" i="201"/>
  <c r="AC6" i="201"/>
  <c r="AD6" i="201"/>
  <c r="AK6" i="201"/>
  <c r="AB6" i="201"/>
  <c r="AJ6" i="201"/>
  <c r="AF6" i="201"/>
  <c r="AB6" i="202"/>
  <c r="AH6" i="202"/>
  <c r="AD6" i="202"/>
  <c r="AK6" i="202"/>
  <c r="AF6" i="202"/>
  <c r="AC6" i="202"/>
  <c r="AG6" i="202"/>
  <c r="AI6" i="202"/>
  <c r="AJ6" i="202"/>
  <c r="AE6" i="202"/>
  <c r="AE6" i="204"/>
  <c r="AG6" i="204"/>
  <c r="AD6" i="204"/>
  <c r="AH6" i="204"/>
  <c r="AC6" i="204"/>
  <c r="AI6" i="204"/>
  <c r="AF6" i="204"/>
  <c r="AB6" i="204"/>
  <c r="AJ6" i="204"/>
  <c r="AK6" i="204"/>
  <c r="AJ6" i="208"/>
  <c r="AK6" i="208"/>
  <c r="AC6" i="208"/>
  <c r="AG6" i="208"/>
  <c r="AB6" i="208"/>
  <c r="AI6" i="208"/>
  <c r="AH6" i="208"/>
  <c r="AF6" i="208"/>
  <c r="AD6" i="208"/>
  <c r="AE6" i="208"/>
  <c r="AE6" i="195"/>
  <c r="AD6" i="195"/>
  <c r="AI6" i="195"/>
  <c r="AJ6" i="195"/>
  <c r="AK6" i="195"/>
  <c r="AF6" i="195"/>
  <c r="AH6" i="195"/>
  <c r="AC6" i="195"/>
  <c r="AG6" i="195"/>
  <c r="AB6" i="195"/>
  <c r="AK6" i="200"/>
  <c r="AH6" i="200"/>
  <c r="AF6" i="200"/>
  <c r="AJ6" i="200"/>
  <c r="AG6" i="200"/>
  <c r="AB6" i="200"/>
  <c r="AD6" i="200"/>
  <c r="AI6" i="200"/>
  <c r="AC6" i="200"/>
  <c r="AE6" i="200"/>
  <c r="AF5" i="191"/>
  <c r="AC5" i="191"/>
  <c r="AB5" i="191"/>
  <c r="AG5" i="191"/>
  <c r="AD5" i="191"/>
  <c r="AI5" i="191"/>
  <c r="AH5" i="191"/>
  <c r="AK5" i="191"/>
  <c r="AJ5" i="191"/>
  <c r="AE5" i="191"/>
  <c r="AC5" i="205"/>
  <c r="AJ5" i="205"/>
  <c r="AE5" i="205"/>
  <c r="AG5" i="205"/>
  <c r="AD5" i="205"/>
  <c r="AK5" i="205"/>
  <c r="AF5" i="205"/>
  <c r="AI5" i="205"/>
  <c r="AH5" i="205"/>
  <c r="AB5" i="205"/>
  <c r="AK5" i="206"/>
  <c r="AG5" i="206"/>
  <c r="AJ5" i="206"/>
  <c r="AC5" i="206"/>
  <c r="AB5" i="206"/>
  <c r="AH5" i="206"/>
  <c r="AI5" i="206"/>
  <c r="AE5" i="206"/>
  <c r="AF5" i="206"/>
  <c r="AD5" i="206"/>
  <c r="AB5" i="212"/>
  <c r="AF5" i="212"/>
  <c r="AJ5" i="212"/>
  <c r="AC5" i="212"/>
  <c r="AI5" i="212"/>
  <c r="AE5" i="212"/>
  <c r="AD5" i="212"/>
  <c r="AH5" i="212"/>
  <c r="AK5" i="212"/>
  <c r="AG5" i="212"/>
  <c r="AD5" i="196"/>
  <c r="AJ5" i="196"/>
  <c r="AK5" i="196"/>
  <c r="AI5" i="196"/>
  <c r="AH5" i="196"/>
  <c r="AE5" i="196"/>
  <c r="AG5" i="196"/>
  <c r="AF5" i="196"/>
  <c r="AB5" i="196"/>
  <c r="AC5" i="196"/>
  <c r="AK3" i="202"/>
  <c r="AB3" i="202"/>
  <c r="AG3" i="202"/>
  <c r="AJ3" i="202"/>
  <c r="AI3" i="202"/>
  <c r="AE3" i="202"/>
  <c r="AC3" i="202"/>
  <c r="AH3" i="202"/>
  <c r="AF3" i="202"/>
  <c r="AD3" i="202"/>
  <c r="AB3" i="196"/>
  <c r="AI3" i="196"/>
  <c r="AK3" i="196"/>
  <c r="AH3" i="196"/>
  <c r="AJ3" i="196"/>
  <c r="AC3" i="196"/>
  <c r="AD3" i="196"/>
  <c r="AF3" i="196"/>
  <c r="AG3" i="196"/>
  <c r="AE3" i="196"/>
  <c r="AF3" i="37"/>
  <c r="AB3" i="37"/>
  <c r="AC3" i="37"/>
  <c r="AD3" i="37"/>
  <c r="AE3" i="37"/>
  <c r="AG3" i="37"/>
  <c r="AH3" i="37"/>
  <c r="AJ3" i="37"/>
  <c r="AK3" i="37"/>
  <c r="AI3" i="37"/>
  <c r="AH9" i="195"/>
  <c r="AB9" i="195"/>
  <c r="AJ9" i="195"/>
  <c r="AI9" i="195"/>
  <c r="AD9" i="195"/>
  <c r="AG9" i="195"/>
  <c r="AF9" i="195"/>
  <c r="AK9" i="195"/>
  <c r="AE9" i="195"/>
  <c r="AC9" i="195"/>
  <c r="AC9" i="37"/>
  <c r="AD9" i="37"/>
  <c r="AB9" i="37"/>
  <c r="AF9" i="37"/>
  <c r="AH9" i="37"/>
  <c r="AE9" i="37"/>
  <c r="AI9" i="37"/>
  <c r="AK9" i="37"/>
  <c r="AG9" i="37"/>
  <c r="AJ9" i="37"/>
  <c r="AC9" i="201"/>
  <c r="AJ9" i="201"/>
  <c r="AH9" i="201"/>
  <c r="AF9" i="201"/>
  <c r="AK9" i="201"/>
  <c r="AG9" i="201"/>
  <c r="AE9" i="201"/>
  <c r="AD9" i="201"/>
  <c r="AI9" i="201"/>
  <c r="AB9" i="201"/>
  <c r="AC9" i="192"/>
  <c r="AH9" i="192"/>
  <c r="AB9" i="192"/>
  <c r="AK9" i="192"/>
  <c r="AD9" i="192"/>
  <c r="AI9" i="192"/>
  <c r="AJ9" i="192"/>
  <c r="AF9" i="192"/>
  <c r="AG9" i="192"/>
  <c r="AE9" i="192"/>
  <c r="AE2" i="37"/>
  <c r="AG2" i="37"/>
  <c r="AB2" i="37"/>
  <c r="AI2" i="37"/>
  <c r="AF2" i="37"/>
  <c r="AD2" i="37"/>
  <c r="AJ2" i="37"/>
  <c r="AK2" i="37"/>
  <c r="AC2" i="37"/>
  <c r="AH2" i="37"/>
  <c r="AE2" i="207"/>
  <c r="AD2" i="207"/>
  <c r="AF2" i="207"/>
  <c r="AH2" i="207"/>
  <c r="AB2" i="207"/>
  <c r="AC2" i="207"/>
  <c r="AI2" i="207"/>
  <c r="AK2" i="207"/>
  <c r="AJ2" i="207"/>
  <c r="AG2" i="207"/>
  <c r="AI2" i="194"/>
  <c r="AK2" i="194"/>
  <c r="AH2" i="194"/>
  <c r="AD2" i="194"/>
  <c r="AJ2" i="194"/>
  <c r="AB2" i="194"/>
  <c r="AE2" i="194"/>
  <c r="AF2" i="194"/>
  <c r="AC2" i="194"/>
  <c r="AG2" i="194"/>
  <c r="AE2" i="206"/>
  <c r="AD2" i="206"/>
  <c r="AJ2" i="206"/>
  <c r="AI2" i="206"/>
  <c r="AF2" i="206"/>
  <c r="AK2" i="206"/>
  <c r="AC2" i="206"/>
  <c r="AH2" i="206"/>
  <c r="AG2" i="206"/>
  <c r="AB2" i="206"/>
  <c r="AF2" i="193"/>
  <c r="AD2" i="193"/>
  <c r="AK2" i="193"/>
  <c r="AI2" i="193"/>
  <c r="AH2" i="193"/>
  <c r="AC2" i="193"/>
  <c r="AE2" i="193"/>
  <c r="AG2" i="193"/>
  <c r="AB2" i="193"/>
  <c r="AJ2" i="193"/>
  <c r="AH2" i="209"/>
  <c r="AB2" i="209"/>
  <c r="AK2" i="209"/>
  <c r="AC2" i="209"/>
  <c r="AE2" i="209"/>
  <c r="AI2" i="209"/>
  <c r="AG2" i="209"/>
  <c r="AF2" i="209"/>
  <c r="AJ2" i="209"/>
  <c r="AD2" i="209"/>
  <c r="AH7" i="200"/>
  <c r="AE7" i="200"/>
  <c r="AI7" i="200"/>
  <c r="AF7" i="200"/>
  <c r="AD7" i="200"/>
  <c r="AJ7" i="200"/>
  <c r="AK7" i="200"/>
  <c r="AG7" i="200"/>
  <c r="AB7" i="200"/>
  <c r="AC7" i="200"/>
  <c r="AH7" i="198"/>
  <c r="AF7" i="198"/>
  <c r="AI7" i="198"/>
  <c r="AJ7" i="198"/>
  <c r="AD7" i="198"/>
  <c r="AE7" i="198"/>
  <c r="AB7" i="198"/>
  <c r="AG7" i="198"/>
  <c r="AK7" i="198"/>
  <c r="AC7" i="198"/>
  <c r="AF7" i="195"/>
  <c r="AD7" i="195"/>
  <c r="AK7" i="195"/>
  <c r="AJ7" i="195"/>
  <c r="AH7" i="195"/>
  <c r="AB7" i="195"/>
  <c r="AE7" i="195"/>
  <c r="AC7" i="195"/>
  <c r="AI7" i="195"/>
  <c r="AG7" i="195"/>
  <c r="AG7" i="206"/>
  <c r="AH7" i="206"/>
  <c r="AE7" i="206"/>
  <c r="AJ7" i="206"/>
  <c r="AC7" i="206"/>
  <c r="AD7" i="206"/>
  <c r="AB7" i="206"/>
  <c r="AF7" i="206"/>
  <c r="AI7" i="206"/>
  <c r="AK7" i="206"/>
  <c r="AJ7" i="199"/>
  <c r="AK7" i="199"/>
  <c r="AI7" i="199"/>
  <c r="AH7" i="199"/>
  <c r="AE7" i="199"/>
  <c r="AB7" i="199"/>
  <c r="AG7" i="199"/>
  <c r="AF7" i="199"/>
  <c r="AD7" i="199"/>
  <c r="AC7" i="199"/>
  <c r="AJ7" i="210"/>
  <c r="AG7" i="210"/>
  <c r="AC7" i="210"/>
  <c r="AE7" i="210"/>
  <c r="AK7" i="210"/>
  <c r="AD7" i="210"/>
  <c r="AH7" i="210"/>
  <c r="AB7" i="210"/>
  <c r="AF7" i="210"/>
  <c r="AI7" i="210"/>
  <c r="AF8" i="210"/>
  <c r="AE8" i="210"/>
  <c r="AJ8" i="210"/>
  <c r="AB8" i="210"/>
  <c r="AG8" i="210"/>
  <c r="AI8" i="210"/>
  <c r="AC8" i="210"/>
  <c r="AD8" i="210"/>
  <c r="AH8" i="210"/>
  <c r="AK8" i="210"/>
  <c r="AI8" i="199"/>
  <c r="AF8" i="199"/>
  <c r="AJ8" i="199"/>
  <c r="AD8" i="199"/>
  <c r="AC8" i="199"/>
  <c r="AE8" i="199"/>
  <c r="AG8" i="199"/>
  <c r="AB8" i="199"/>
  <c r="AH8" i="199"/>
  <c r="AK8" i="199"/>
  <c r="AG8" i="193"/>
  <c r="AF8" i="193"/>
  <c r="AI8" i="193"/>
  <c r="AK8" i="193"/>
  <c r="AJ8" i="193"/>
  <c r="AD8" i="193"/>
  <c r="AB8" i="193"/>
  <c r="AH8" i="193"/>
  <c r="AC8" i="193"/>
  <c r="AE8" i="193"/>
  <c r="AG8" i="205"/>
  <c r="AJ8" i="205"/>
  <c r="AI8" i="205"/>
  <c r="AD8" i="205"/>
  <c r="AH8" i="205"/>
  <c r="AC8" i="205"/>
  <c r="AF8" i="205"/>
  <c r="AK8" i="205"/>
  <c r="AB8" i="205"/>
  <c r="AE8" i="205"/>
  <c r="AC4" i="207"/>
  <c r="AE4" i="207"/>
  <c r="AF4" i="207"/>
  <c r="AI4" i="207"/>
  <c r="AG4" i="207"/>
  <c r="AJ4" i="207"/>
  <c r="AD4" i="207"/>
  <c r="AK4" i="207"/>
  <c r="AH4" i="207"/>
  <c r="AB4" i="207"/>
  <c r="AF4" i="195"/>
  <c r="AE4" i="195"/>
  <c r="AJ4" i="195"/>
  <c r="AG4" i="195"/>
  <c r="AI4" i="195"/>
  <c r="AK4" i="195"/>
  <c r="AB4" i="195"/>
  <c r="AC4" i="195"/>
  <c r="AH4" i="195"/>
  <c r="AD4" i="195"/>
  <c r="AJ4" i="214"/>
  <c r="AE4" i="214"/>
  <c r="AH4" i="214"/>
  <c r="AG4" i="214"/>
  <c r="AF4" i="214"/>
  <c r="AD4" i="214"/>
  <c r="AK4" i="214"/>
  <c r="AC4" i="214"/>
  <c r="AI4" i="214"/>
  <c r="AB4" i="214"/>
  <c r="AC10" i="204"/>
  <c r="AJ10" i="204"/>
  <c r="AI10" i="204"/>
  <c r="AB10" i="204"/>
  <c r="AD10" i="204"/>
  <c r="AG10" i="204"/>
  <c r="AH10" i="204"/>
  <c r="AE10" i="204"/>
  <c r="AF10" i="204"/>
  <c r="AK10" i="204"/>
  <c r="AE10" i="211"/>
  <c r="AF10" i="211"/>
  <c r="AJ10" i="211"/>
  <c r="AH10" i="211"/>
  <c r="AC10" i="211"/>
  <c r="AD10" i="211"/>
  <c r="AG10" i="211"/>
  <c r="AI10" i="211"/>
  <c r="AK10" i="211"/>
  <c r="AB10" i="211"/>
  <c r="AG10" i="195"/>
  <c r="AE10" i="195"/>
  <c r="AI10" i="195"/>
  <c r="AB10" i="195"/>
  <c r="AK10" i="195"/>
  <c r="AC10" i="195"/>
  <c r="AF10" i="195"/>
  <c r="AH10" i="195"/>
  <c r="AD10" i="195"/>
  <c r="AJ10" i="195"/>
  <c r="AI6" i="191"/>
  <c r="AD6" i="191"/>
  <c r="AE6" i="191"/>
  <c r="AH6" i="191"/>
  <c r="AC6" i="191"/>
  <c r="AF6" i="191"/>
  <c r="AK6" i="191"/>
  <c r="AG6" i="191"/>
  <c r="AJ6" i="191"/>
  <c r="AB6" i="191"/>
  <c r="AK6" i="203"/>
  <c r="AE6" i="203"/>
  <c r="AH6" i="203"/>
  <c r="AJ6" i="203"/>
  <c r="AF6" i="203"/>
  <c r="AD6" i="203"/>
  <c r="AG6" i="203"/>
  <c r="AI6" i="203"/>
  <c r="AC6" i="203"/>
  <c r="AB6" i="203"/>
  <c r="AI3" i="194"/>
  <c r="AD3" i="194"/>
  <c r="AJ3" i="194"/>
  <c r="AB3" i="194"/>
  <c r="AF3" i="194"/>
  <c r="AC3" i="194"/>
  <c r="AK3" i="194"/>
  <c r="AH3" i="194"/>
  <c r="AE3" i="194"/>
  <c r="AG3" i="194"/>
  <c r="AG3" i="205"/>
  <c r="AC3" i="205"/>
  <c r="AB3" i="205"/>
  <c r="AD3" i="205"/>
  <c r="AE3" i="205"/>
  <c r="AH3" i="205"/>
  <c r="AI3" i="205"/>
  <c r="AJ3" i="205"/>
  <c r="AK3" i="205"/>
  <c r="AF3" i="205"/>
  <c r="AJ3" i="203"/>
  <c r="AK3" i="203"/>
  <c r="AH3" i="203"/>
  <c r="AB3" i="203"/>
  <c r="AD3" i="203"/>
  <c r="AE3" i="203"/>
  <c r="AF3" i="203"/>
  <c r="AG3" i="203"/>
  <c r="AI3" i="203"/>
  <c r="AC3" i="203"/>
  <c r="AH3" i="213"/>
  <c r="AC3" i="213"/>
  <c r="AI3" i="213"/>
  <c r="AE3" i="213"/>
  <c r="AJ3" i="213"/>
  <c r="AD3" i="213"/>
  <c r="AG3" i="213"/>
  <c r="AK3" i="213"/>
  <c r="AB3" i="213"/>
  <c r="AF3" i="213"/>
  <c r="AB3" i="208"/>
  <c r="AF3" i="208"/>
  <c r="AH3" i="208"/>
  <c r="AG3" i="208"/>
  <c r="AC3" i="208"/>
  <c r="AJ3" i="208"/>
  <c r="AD3" i="208"/>
  <c r="AK3" i="208"/>
  <c r="AE3" i="208"/>
  <c r="AI3" i="208"/>
  <c r="AD3" i="199"/>
  <c r="AK3" i="199"/>
  <c r="AG3" i="199"/>
  <c r="AH3" i="199"/>
  <c r="AF3" i="199"/>
  <c r="AE3" i="199"/>
  <c r="AB3" i="199"/>
  <c r="AC3" i="199"/>
  <c r="AI3" i="199"/>
  <c r="AJ3" i="199"/>
  <c r="AF9" i="194"/>
  <c r="AC9" i="194"/>
  <c r="AJ9" i="194"/>
  <c r="AB9" i="194"/>
  <c r="AH9" i="194"/>
  <c r="AK9" i="194"/>
  <c r="AD9" i="194"/>
  <c r="AG9" i="194"/>
  <c r="AI9" i="194"/>
  <c r="AE9" i="194"/>
  <c r="AK9" i="213"/>
  <c r="AJ9" i="213"/>
  <c r="AF9" i="213"/>
  <c r="AG9" i="213"/>
  <c r="AB9" i="213"/>
  <c r="AC9" i="213"/>
  <c r="AE9" i="213"/>
  <c r="AH9" i="213"/>
  <c r="AI9" i="213"/>
  <c r="AD9" i="213"/>
  <c r="AE9" i="210"/>
  <c r="AB9" i="210"/>
  <c r="AF9" i="210"/>
  <c r="AD9" i="210"/>
  <c r="AI9" i="210"/>
  <c r="AK9" i="210"/>
  <c r="AG9" i="210"/>
  <c r="AC9" i="210"/>
  <c r="AJ9" i="210"/>
  <c r="AH9" i="210"/>
  <c r="AJ9" i="191"/>
  <c r="AF9" i="191"/>
  <c r="AK9" i="191"/>
  <c r="AG9" i="191"/>
  <c r="AD9" i="191"/>
  <c r="AE9" i="191"/>
  <c r="AH9" i="191"/>
  <c r="AB9" i="191"/>
  <c r="AI9" i="191"/>
  <c r="AC9" i="191"/>
  <c r="AF9" i="203"/>
  <c r="AD9" i="203"/>
  <c r="AG9" i="203"/>
  <c r="AE9" i="203"/>
  <c r="AK9" i="203"/>
  <c r="AJ9" i="203"/>
  <c r="AI9" i="203"/>
  <c r="AH9" i="203"/>
  <c r="AC9" i="203"/>
  <c r="AB9" i="203"/>
  <c r="AH9" i="211"/>
  <c r="AI9" i="211"/>
  <c r="AJ9" i="211"/>
  <c r="AE9" i="211"/>
  <c r="AB9" i="211"/>
  <c r="AG9" i="211"/>
  <c r="AC9" i="211"/>
  <c r="AF9" i="211"/>
  <c r="AD9" i="211"/>
  <c r="AK9" i="211"/>
  <c r="AI2" i="202"/>
  <c r="AD2" i="202"/>
  <c r="AF2" i="202"/>
  <c r="AJ2" i="202"/>
  <c r="AC2" i="202"/>
  <c r="AH2" i="202"/>
  <c r="AG2" i="202"/>
  <c r="AE2" i="202"/>
  <c r="AB2" i="202"/>
  <c r="AK2" i="202"/>
  <c r="AI2" i="198"/>
  <c r="AF2" i="198"/>
  <c r="AK2" i="198"/>
  <c r="AE2" i="198"/>
  <c r="AB2" i="198"/>
  <c r="AG2" i="198"/>
  <c r="AJ2" i="198"/>
  <c r="AH2" i="198"/>
  <c r="AD2" i="198"/>
  <c r="AC2" i="198"/>
  <c r="AC2" i="205"/>
  <c r="AF2" i="205"/>
  <c r="AK2" i="205"/>
  <c r="AG2" i="205"/>
  <c r="AE2" i="205"/>
  <c r="AB2" i="205"/>
  <c r="AJ2" i="205"/>
  <c r="AH2" i="205"/>
  <c r="AD2" i="205"/>
  <c r="AI2" i="205"/>
  <c r="AD2" i="199"/>
  <c r="AK2" i="199"/>
  <c r="AB2" i="199"/>
  <c r="AE2" i="199"/>
  <c r="AC2" i="199"/>
  <c r="AG2" i="199"/>
  <c r="AI2" i="199"/>
  <c r="AH2" i="199"/>
  <c r="AJ2" i="199"/>
  <c r="AF2" i="199"/>
  <c r="AF2" i="204"/>
  <c r="AB2" i="204"/>
  <c r="AC2" i="204"/>
  <c r="AD2" i="204"/>
  <c r="AH2" i="204"/>
  <c r="AG2" i="204"/>
  <c r="AK2" i="204"/>
  <c r="AE2" i="204"/>
  <c r="AI2" i="204"/>
  <c r="AJ2" i="204"/>
  <c r="AG2" i="192"/>
  <c r="AE2" i="192"/>
  <c r="AF2" i="192"/>
  <c r="AC2" i="192"/>
  <c r="AH2" i="192"/>
  <c r="AJ2" i="192"/>
  <c r="AD2" i="192"/>
  <c r="AB2" i="192"/>
  <c r="AK2" i="192"/>
  <c r="AI2" i="192"/>
  <c r="AH7" i="208"/>
  <c r="AC7" i="208"/>
  <c r="AB7" i="208"/>
  <c r="AI7" i="208"/>
  <c r="AD7" i="208"/>
  <c r="AF7" i="208"/>
  <c r="AK7" i="208"/>
  <c r="AE7" i="208"/>
  <c r="AJ7" i="208"/>
  <c r="AG7" i="208"/>
  <c r="AD7" i="213"/>
  <c r="AK7" i="213"/>
  <c r="AI7" i="213"/>
  <c r="AG7" i="213"/>
  <c r="AH7" i="213"/>
  <c r="AB7" i="213"/>
  <c r="AJ7" i="213"/>
  <c r="AC7" i="213"/>
  <c r="AE7" i="213"/>
  <c r="AF7" i="213"/>
  <c r="AC7" i="214"/>
  <c r="AD7" i="214"/>
  <c r="AI7" i="214"/>
  <c r="AG7" i="214"/>
  <c r="AK7" i="214"/>
  <c r="AB7" i="214"/>
  <c r="AJ7" i="214"/>
  <c r="AF7" i="214"/>
  <c r="AE7" i="214"/>
  <c r="AH7" i="214"/>
  <c r="AK7" i="202"/>
  <c r="AD7" i="202"/>
  <c r="AF7" i="202"/>
  <c r="AG7" i="202"/>
  <c r="AH7" i="202"/>
  <c r="AJ7" i="202"/>
  <c r="AE7" i="202"/>
  <c r="AC7" i="202"/>
  <c r="AB7" i="202"/>
  <c r="AI7" i="202"/>
  <c r="AI7" i="207"/>
  <c r="AF7" i="207"/>
  <c r="AE7" i="207"/>
  <c r="AK7" i="207"/>
  <c r="AC7" i="207"/>
  <c r="AJ7" i="207"/>
  <c r="AG7" i="207"/>
  <c r="AH7" i="207"/>
  <c r="AB7" i="207"/>
  <c r="AD7" i="207"/>
  <c r="AI7" i="212"/>
  <c r="AD7" i="212"/>
  <c r="AK7" i="212"/>
  <c r="AC7" i="212"/>
  <c r="AJ7" i="212"/>
  <c r="AE7" i="212"/>
  <c r="AB7" i="212"/>
  <c r="AH7" i="212"/>
  <c r="AF7" i="212"/>
  <c r="AG7" i="212"/>
  <c r="AI7" i="201"/>
  <c r="AC7" i="201"/>
  <c r="AG7" i="201"/>
  <c r="AE7" i="201"/>
  <c r="AF7" i="201"/>
  <c r="AD7" i="201"/>
  <c r="AK7" i="201"/>
  <c r="AH7" i="201"/>
  <c r="AJ7" i="201"/>
  <c r="AB7" i="201"/>
  <c r="AD8" i="200"/>
  <c r="AG8" i="200"/>
  <c r="AK8" i="200"/>
  <c r="AC8" i="200"/>
  <c r="AE8" i="200"/>
  <c r="AF8" i="200"/>
  <c r="AI8" i="200"/>
  <c r="AJ8" i="200"/>
  <c r="AH8" i="200"/>
  <c r="AB8" i="200"/>
  <c r="AH8" i="212"/>
  <c r="AC8" i="212"/>
  <c r="AK8" i="212"/>
  <c r="AJ8" i="212"/>
  <c r="AB8" i="212"/>
  <c r="AG8" i="212"/>
  <c r="AE8" i="212"/>
  <c r="AD8" i="212"/>
  <c r="AI8" i="212"/>
  <c r="AF8" i="212"/>
  <c r="AH8" i="204"/>
  <c r="AG8" i="204"/>
  <c r="AE8" i="204"/>
  <c r="AB8" i="204"/>
  <c r="AC8" i="204"/>
  <c r="AJ8" i="204"/>
  <c r="AI8" i="204"/>
  <c r="AD8" i="204"/>
  <c r="AK8" i="204"/>
  <c r="AF8" i="204"/>
  <c r="AD8" i="195"/>
  <c r="AE8" i="195"/>
  <c r="AF8" i="195"/>
  <c r="AK8" i="195"/>
  <c r="AC8" i="195"/>
  <c r="AG8" i="195"/>
  <c r="AJ8" i="195"/>
  <c r="AB8" i="195"/>
  <c r="AI8" i="195"/>
  <c r="AH8" i="195"/>
  <c r="AB8" i="202"/>
  <c r="AK8" i="202"/>
  <c r="AG8" i="202"/>
  <c r="AD8" i="202"/>
  <c r="AC8" i="202"/>
  <c r="AE8" i="202"/>
  <c r="AH8" i="202"/>
  <c r="AI8" i="202"/>
  <c r="AF8" i="202"/>
  <c r="AJ8" i="202"/>
  <c r="AF8" i="209"/>
  <c r="AC8" i="209"/>
  <c r="AE8" i="209"/>
  <c r="AK8" i="209"/>
  <c r="AH8" i="209"/>
  <c r="AG8" i="209"/>
  <c r="AD8" i="209"/>
  <c r="AI8" i="209"/>
  <c r="AJ8" i="209"/>
  <c r="AB8" i="209"/>
  <c r="AI4" i="205"/>
  <c r="AK4" i="205"/>
  <c r="AG4" i="205"/>
  <c r="AE4" i="205"/>
  <c r="AH4" i="205"/>
  <c r="AC4" i="205"/>
  <c r="AD4" i="205"/>
  <c r="AF4" i="205"/>
  <c r="AJ4" i="205"/>
  <c r="AB4" i="205"/>
  <c r="AJ4" i="201"/>
  <c r="AG4" i="201"/>
  <c r="AD4" i="201"/>
  <c r="AH4" i="201"/>
  <c r="AK4" i="201"/>
  <c r="AB4" i="201"/>
  <c r="AC4" i="201"/>
  <c r="AF4" i="201"/>
  <c r="AE4" i="201"/>
  <c r="AI4" i="201"/>
  <c r="AE4" i="192"/>
  <c r="AH4" i="192"/>
  <c r="AB4" i="192"/>
  <c r="AD4" i="192"/>
  <c r="AI4" i="192"/>
  <c r="AJ4" i="192"/>
  <c r="AK4" i="192"/>
  <c r="AG4" i="192"/>
  <c r="AF4" i="192"/>
  <c r="AC4" i="192"/>
  <c r="AD4" i="209"/>
  <c r="AB4" i="209"/>
  <c r="AF4" i="209"/>
  <c r="AJ4" i="209"/>
  <c r="AI4" i="209"/>
  <c r="AK4" i="209"/>
  <c r="AE4" i="209"/>
  <c r="AH4" i="209"/>
  <c r="AC4" i="209"/>
  <c r="AG4" i="209"/>
  <c r="AD4" i="194"/>
  <c r="AE4" i="194"/>
  <c r="AC4" i="194"/>
  <c r="AB4" i="194"/>
  <c r="AH4" i="194"/>
  <c r="AK4" i="194"/>
  <c r="AF4" i="194"/>
  <c r="AJ4" i="194"/>
  <c r="AG4" i="194"/>
  <c r="AI4" i="194"/>
  <c r="AK4" i="200"/>
  <c r="AG4" i="200"/>
  <c r="AE4" i="200"/>
  <c r="AF4" i="200"/>
  <c r="AH4" i="200"/>
  <c r="AB4" i="200"/>
  <c r="AJ4" i="200"/>
  <c r="AI4" i="200"/>
  <c r="AD4" i="200"/>
  <c r="AC4" i="200"/>
  <c r="AJ10" i="198"/>
  <c r="AK10" i="198"/>
  <c r="AB10" i="198"/>
  <c r="AH10" i="198"/>
  <c r="AF10" i="198"/>
  <c r="AI10" i="198"/>
  <c r="AC10" i="198"/>
  <c r="AG10" i="198"/>
  <c r="AD10" i="198"/>
  <c r="AE10" i="198"/>
  <c r="AF10" i="192"/>
  <c r="AI10" i="192"/>
  <c r="AE10" i="192"/>
  <c r="AJ10" i="192"/>
  <c r="AK10" i="192"/>
  <c r="AD10" i="192"/>
  <c r="AH10" i="192"/>
  <c r="AG10" i="192"/>
  <c r="AC10" i="192"/>
  <c r="AB10" i="192"/>
  <c r="AJ10" i="206"/>
  <c r="AG10" i="206"/>
  <c r="AI10" i="206"/>
  <c r="AB10" i="206"/>
  <c r="AD10" i="206"/>
  <c r="AH10" i="206"/>
  <c r="AE10" i="206"/>
  <c r="AC10" i="206"/>
  <c r="AF10" i="206"/>
  <c r="AK10" i="206"/>
  <c r="AJ10" i="212"/>
  <c r="AH10" i="212"/>
  <c r="AD10" i="212"/>
  <c r="AK10" i="212"/>
  <c r="AF10" i="212"/>
  <c r="AI10" i="212"/>
  <c r="AG10" i="212"/>
  <c r="AE10" i="212"/>
  <c r="AB10" i="212"/>
  <c r="AC10" i="212"/>
  <c r="AI10" i="209"/>
  <c r="AG10" i="209"/>
  <c r="AH10" i="209"/>
  <c r="AC10" i="209"/>
  <c r="AF10" i="209"/>
  <c r="AK10" i="209"/>
  <c r="AD10" i="209"/>
  <c r="AJ10" i="209"/>
  <c r="AE10" i="209"/>
  <c r="AB10" i="209"/>
  <c r="AB10" i="200"/>
  <c r="AI10" i="200"/>
  <c r="AF10" i="200"/>
  <c r="AH10" i="200"/>
  <c r="AD10" i="200"/>
  <c r="AG10" i="200"/>
  <c r="AJ10" i="200"/>
  <c r="AC10" i="200"/>
  <c r="AE10" i="200"/>
  <c r="AK10" i="200"/>
  <c r="AG6" i="210"/>
  <c r="AH6" i="210"/>
  <c r="AF6" i="210"/>
  <c r="AI6" i="210"/>
  <c r="AE6" i="210"/>
  <c r="AD6" i="210"/>
  <c r="AB6" i="210"/>
  <c r="AJ6" i="210"/>
  <c r="AC6" i="210"/>
  <c r="AK6" i="210"/>
  <c r="AI6" i="214"/>
  <c r="AD6" i="214"/>
  <c r="AF6" i="214"/>
  <c r="AC6" i="214"/>
  <c r="AJ6" i="214"/>
  <c r="AH6" i="214"/>
  <c r="AB6" i="214"/>
  <c r="AE6" i="214"/>
  <c r="AG6" i="214"/>
  <c r="AK6" i="214"/>
  <c r="AJ6" i="205"/>
  <c r="AD6" i="205"/>
  <c r="AH6" i="205"/>
  <c r="AK6" i="205"/>
  <c r="AB6" i="205"/>
  <c r="AF6" i="205"/>
  <c r="AC6" i="205"/>
  <c r="AG6" i="205"/>
  <c r="AI6" i="205"/>
  <c r="AE6" i="205"/>
  <c r="AH6" i="207"/>
  <c r="AE6" i="207"/>
  <c r="AK6" i="207"/>
  <c r="AD6" i="207"/>
  <c r="AC6" i="207"/>
  <c r="AI6" i="207"/>
  <c r="AB6" i="207"/>
  <c r="AF6" i="207"/>
  <c r="AJ6" i="207"/>
  <c r="AG6" i="207"/>
  <c r="AG6" i="194"/>
  <c r="AI6" i="194"/>
  <c r="AC6" i="194"/>
  <c r="AJ6" i="194"/>
  <c r="AH6" i="194"/>
  <c r="AD6" i="194"/>
  <c r="AE6" i="194"/>
  <c r="AB6" i="194"/>
  <c r="AF6" i="194"/>
  <c r="AK6" i="194"/>
  <c r="AG6" i="199"/>
  <c r="AD6" i="199"/>
  <c r="AI6" i="199"/>
  <c r="AC6" i="199"/>
  <c r="AK6" i="199"/>
  <c r="AH6" i="199"/>
  <c r="AF6" i="199"/>
  <c r="AE6" i="199"/>
  <c r="AJ6" i="199"/>
  <c r="AB6" i="199"/>
  <c r="AH6" i="193"/>
  <c r="AD6" i="193"/>
  <c r="AC6" i="193"/>
  <c r="AJ6" i="193"/>
  <c r="AK6" i="193"/>
  <c r="AB6" i="193"/>
  <c r="AI6" i="193"/>
  <c r="AF6" i="193"/>
  <c r="AE6" i="193"/>
  <c r="AG6" i="193"/>
  <c r="AF5" i="193"/>
  <c r="AH5" i="193"/>
  <c r="AE5" i="193"/>
  <c r="AI5" i="193"/>
  <c r="AB5" i="193"/>
  <c r="AK5" i="193"/>
  <c r="AJ5" i="193"/>
  <c r="AC5" i="193"/>
  <c r="AG5" i="193"/>
  <c r="AD5" i="193"/>
  <c r="AB5" i="207"/>
  <c r="AH5" i="207"/>
  <c r="AI5" i="207"/>
  <c r="AD5" i="207"/>
  <c r="AE5" i="207"/>
  <c r="AK5" i="207"/>
  <c r="AG5" i="207"/>
  <c r="AJ5" i="207"/>
  <c r="AF5" i="207"/>
  <c r="AC5" i="207"/>
  <c r="AF5" i="203"/>
  <c r="AK5" i="203"/>
  <c r="AE5" i="203"/>
  <c r="AB5" i="203"/>
  <c r="AJ5" i="203"/>
  <c r="AI5" i="203"/>
  <c r="AG5" i="203"/>
  <c r="AD5" i="203"/>
  <c r="AC5" i="203"/>
  <c r="AH5" i="203"/>
  <c r="AE5" i="37"/>
  <c r="AF5" i="37"/>
  <c r="AH5" i="37"/>
  <c r="AC5" i="37"/>
  <c r="AI5" i="37"/>
  <c r="AJ5" i="37"/>
  <c r="AB5" i="37"/>
  <c r="AK5" i="37"/>
  <c r="AD5" i="37"/>
  <c r="AG5" i="37"/>
  <c r="AK5" i="204"/>
  <c r="AG5" i="204"/>
  <c r="AI5" i="204"/>
  <c r="AJ5" i="204"/>
  <c r="AF5" i="204"/>
  <c r="AH5" i="204"/>
  <c r="AD5" i="204"/>
  <c r="AB5" i="204"/>
  <c r="AC5" i="204"/>
  <c r="AE5" i="204"/>
  <c r="AC5" i="211"/>
  <c r="AG5" i="211"/>
  <c r="AH5" i="211"/>
  <c r="AJ5" i="211"/>
  <c r="AI5" i="211"/>
  <c r="AD5" i="211"/>
  <c r="AF5" i="211"/>
  <c r="AB5" i="211"/>
  <c r="AE5" i="211"/>
  <c r="AK5" i="211"/>
  <c r="AB5" i="200"/>
  <c r="AF5" i="200"/>
  <c r="AJ5" i="200"/>
  <c r="AD5" i="200"/>
  <c r="AH5" i="200"/>
  <c r="AK5" i="200"/>
  <c r="AE5" i="200"/>
  <c r="AC5" i="200"/>
  <c r="AI5" i="200"/>
  <c r="AG5" i="200"/>
  <c r="AM6" i="209" l="1"/>
  <c r="AM4" i="37"/>
  <c r="AM6" i="207"/>
  <c r="AM6" i="214"/>
  <c r="AM7" i="202"/>
  <c r="AM7" i="208"/>
  <c r="AM2" i="198"/>
  <c r="AM9" i="211"/>
  <c r="AM9" i="213"/>
  <c r="AM3" i="213"/>
  <c r="AM8" i="205"/>
  <c r="AM8" i="193"/>
  <c r="AM2" i="207"/>
  <c r="AM2" i="37"/>
  <c r="AM10" i="214"/>
  <c r="AM4" i="198"/>
  <c r="AM4" i="191"/>
  <c r="AM4" i="202"/>
  <c r="AM2" i="195"/>
  <c r="AM9" i="202"/>
  <c r="AM9" i="206"/>
  <c r="AM9" i="198"/>
  <c r="AM3" i="207"/>
  <c r="AM6" i="211"/>
  <c r="AM6" i="213"/>
  <c r="AM10" i="203"/>
  <c r="AM4" i="193"/>
  <c r="AM8" i="191"/>
  <c r="AM7" i="194"/>
  <c r="AM7" i="193"/>
  <c r="AM7" i="209"/>
  <c r="AM2" i="213"/>
  <c r="AM9" i="193"/>
  <c r="AM9" i="208"/>
  <c r="AM9" i="199"/>
  <c r="AM3" i="211"/>
  <c r="AM3" i="209"/>
  <c r="AM5" i="192"/>
  <c r="AM10" i="192"/>
  <c r="AM4" i="194"/>
  <c r="AM4" i="209"/>
  <c r="AM4" i="201"/>
  <c r="AM8" i="209"/>
  <c r="AM8" i="204"/>
  <c r="AM7" i="201"/>
  <c r="AM7" i="214"/>
  <c r="AM2" i="192"/>
  <c r="AM2" i="204"/>
  <c r="AM2" i="205"/>
  <c r="AM9" i="203"/>
  <c r="AM9" i="191"/>
  <c r="AM9" i="210"/>
  <c r="AM6" i="191"/>
  <c r="AM10" i="195"/>
  <c r="AM10" i="211"/>
  <c r="AM10" i="204"/>
  <c r="AM4" i="214"/>
  <c r="AM4" i="207"/>
  <c r="AM8" i="199"/>
  <c r="AM7" i="210"/>
  <c r="AM7" i="199"/>
  <c r="AM7" i="195"/>
  <c r="AM2" i="194"/>
  <c r="AM9" i="201"/>
  <c r="AM9" i="195"/>
  <c r="AM5" i="205"/>
  <c r="AM6" i="200"/>
  <c r="AM6" i="204"/>
  <c r="AM6" i="201"/>
  <c r="AM4" i="211"/>
  <c r="AM8" i="196"/>
  <c r="AM7" i="211"/>
  <c r="AM7" i="204"/>
  <c r="AM7" i="37"/>
  <c r="AM7" i="203"/>
  <c r="AM7" i="196"/>
  <c r="AM2" i="191"/>
  <c r="AM2" i="201"/>
  <c r="AM3" i="210"/>
  <c r="AM3" i="206"/>
  <c r="AM3" i="214"/>
  <c r="AM4" i="210"/>
  <c r="AM8" i="192"/>
  <c r="AM3" i="200"/>
  <c r="AM5" i="195"/>
  <c r="AM5" i="194"/>
  <c r="AM6" i="212"/>
  <c r="AM6" i="37"/>
  <c r="AM6" i="192"/>
  <c r="AM10" i="207"/>
  <c r="AM4" i="213"/>
  <c r="AM4" i="199"/>
  <c r="AM9" i="214"/>
  <c r="AM3" i="191"/>
  <c r="AM6" i="196"/>
  <c r="AM9" i="196"/>
  <c r="AM3" i="198"/>
  <c r="AM5" i="207"/>
  <c r="AM6" i="205"/>
  <c r="AM5" i="212"/>
  <c r="AM8" i="206"/>
  <c r="AM10" i="191"/>
  <c r="AM5" i="211"/>
  <c r="AM6" i="199"/>
  <c r="AM5" i="200"/>
  <c r="AM5" i="37"/>
  <c r="AM5" i="193"/>
  <c r="AM6" i="210"/>
  <c r="AM10" i="200"/>
  <c r="AM10" i="212"/>
  <c r="AM10" i="198"/>
  <c r="AM4" i="192"/>
  <c r="AM8" i="212"/>
  <c r="AM7" i="212"/>
  <c r="AM7" i="207"/>
  <c r="AM2" i="199"/>
  <c r="AM2" i="202"/>
  <c r="AM3" i="199"/>
  <c r="AM3" i="208"/>
  <c r="AM3" i="205"/>
  <c r="AM4" i="195"/>
  <c r="AM7" i="206"/>
  <c r="AM7" i="198"/>
  <c r="AM7" i="200"/>
  <c r="AM2" i="193"/>
  <c r="AM9" i="192"/>
  <c r="AM9" i="37"/>
  <c r="AM3" i="196"/>
  <c r="AM5" i="196"/>
  <c r="AM5" i="206"/>
  <c r="AM5" i="191"/>
  <c r="AM6" i="208"/>
  <c r="AM6" i="202"/>
  <c r="AM10" i="210"/>
  <c r="AM10" i="193"/>
  <c r="AM10" i="205"/>
  <c r="AM4" i="203"/>
  <c r="AM8" i="194"/>
  <c r="AM8" i="208"/>
  <c r="AM7" i="191"/>
  <c r="AM2" i="214"/>
  <c r="AM2" i="208"/>
  <c r="AM2" i="203"/>
  <c r="AM3" i="201"/>
  <c r="AM3" i="195"/>
  <c r="AM5" i="213"/>
  <c r="AM5" i="198"/>
  <c r="AM10" i="196"/>
  <c r="AM4" i="212"/>
  <c r="AM4" i="204"/>
  <c r="AM8" i="213"/>
  <c r="AM7" i="192"/>
  <c r="AM2" i="211"/>
  <c r="AM2" i="212"/>
  <c r="AM2" i="196"/>
  <c r="AM2" i="200"/>
  <c r="AM9" i="200"/>
  <c r="AM3" i="192"/>
  <c r="AM3" i="193"/>
  <c r="AM5" i="209"/>
  <c r="AM5" i="208"/>
  <c r="AM5" i="201"/>
  <c r="AM6" i="206"/>
  <c r="AM4" i="196"/>
  <c r="AM3" i="212"/>
  <c r="AM8" i="202"/>
  <c r="AM9" i="205"/>
  <c r="AM6" i="194"/>
  <c r="AM10" i="206"/>
  <c r="AM4" i="200"/>
  <c r="AM5" i="204"/>
  <c r="AM5" i="203"/>
  <c r="AM6" i="193"/>
  <c r="AM10" i="209"/>
  <c r="AM4" i="205"/>
  <c r="AM8" i="195"/>
  <c r="AM8" i="200"/>
  <c r="AM7" i="213"/>
  <c r="AM9" i="194"/>
  <c r="AM3" i="203"/>
  <c r="AM3" i="194"/>
  <c r="AM6" i="203"/>
  <c r="AM8" i="210"/>
  <c r="AM2" i="209"/>
  <c r="AM2" i="206"/>
  <c r="AM3" i="37"/>
  <c r="AM3" i="202"/>
  <c r="AM6" i="195"/>
  <c r="AM10" i="202"/>
  <c r="AM10" i="37"/>
  <c r="AM8" i="207"/>
  <c r="AM8" i="211"/>
  <c r="AM9" i="207"/>
  <c r="AM9" i="209"/>
  <c r="AM5" i="210"/>
  <c r="AM5" i="202"/>
  <c r="AM6" i="198"/>
  <c r="AM10" i="194"/>
  <c r="AM10" i="208"/>
  <c r="AM4" i="208"/>
  <c r="AM4" i="206"/>
  <c r="AM8" i="201"/>
  <c r="AM8" i="37"/>
  <c r="AM8" i="198"/>
  <c r="AM8" i="203"/>
  <c r="AM8" i="214"/>
  <c r="AM7" i="205"/>
  <c r="AM2" i="210"/>
  <c r="AM3" i="204"/>
  <c r="AM5" i="214"/>
  <c r="AM5" i="199"/>
  <c r="AM10" i="213"/>
  <c r="AM10" i="201"/>
  <c r="AM10" i="199"/>
  <c r="AM9" i="204"/>
  <c r="AM9" i="212"/>
  <c r="T9" i="73"/>
  <c r="AA5" i="73"/>
  <c r="T6" i="73"/>
  <c r="AE10" i="73"/>
  <c r="AC4" i="73"/>
  <c r="R5" i="73"/>
  <c r="N4" i="73"/>
  <c r="AF2" i="73"/>
  <c r="AB5" i="73"/>
  <c r="V5" i="73"/>
  <c r="I10" i="73"/>
  <c r="AA3" i="73"/>
  <c r="X7" i="73"/>
  <c r="AF7" i="73"/>
  <c r="X10" i="73"/>
  <c r="P3" i="73"/>
  <c r="AD9" i="73"/>
  <c r="L5" i="73"/>
  <c r="T8" i="73"/>
  <c r="W6" i="73"/>
  <c r="U10" i="73"/>
  <c r="S6" i="73"/>
  <c r="Z8" i="73"/>
  <c r="U8" i="73"/>
  <c r="AF6" i="73"/>
  <c r="AA7" i="73"/>
  <c r="AC8" i="73"/>
  <c r="S7" i="73"/>
  <c r="M8" i="73"/>
  <c r="AF3" i="73"/>
  <c r="H10" i="73"/>
  <c r="M4" i="73"/>
  <c r="I9" i="73"/>
  <c r="X9" i="73"/>
  <c r="Y7" i="73"/>
  <c r="AF9" i="73"/>
  <c r="AE7" i="73"/>
  <c r="M7" i="73"/>
  <c r="K2" i="73"/>
  <c r="L2" i="73"/>
  <c r="J9" i="73"/>
  <c r="O4" i="73"/>
  <c r="W9" i="73"/>
  <c r="Y5" i="73"/>
  <c r="Z5" i="73"/>
  <c r="AD6" i="73"/>
  <c r="H2" i="73"/>
  <c r="S8" i="73"/>
  <c r="J4" i="73"/>
  <c r="U5" i="73"/>
  <c r="Q2" i="73"/>
  <c r="L4" i="73"/>
  <c r="P4" i="73"/>
  <c r="Q10" i="73"/>
  <c r="M10" i="73"/>
  <c r="R2" i="73"/>
  <c r="AB3" i="73"/>
  <c r="AC5" i="73"/>
  <c r="K7" i="73"/>
  <c r="K8" i="73"/>
  <c r="W7" i="73"/>
  <c r="N6" i="73"/>
  <c r="T5" i="73"/>
  <c r="N5" i="73"/>
  <c r="W10" i="73"/>
  <c r="Y6" i="73"/>
  <c r="H5" i="73"/>
  <c r="AC9" i="73"/>
  <c r="AE8" i="73"/>
  <c r="I4" i="73"/>
  <c r="O10" i="73"/>
  <c r="AF5" i="73"/>
  <c r="AB6" i="73"/>
  <c r="W4" i="73"/>
  <c r="R4" i="73"/>
  <c r="M6" i="73"/>
  <c r="J3" i="73"/>
  <c r="H3" i="73"/>
  <c r="AD7" i="73"/>
  <c r="X6" i="73"/>
  <c r="I3" i="73"/>
  <c r="L7" i="73"/>
  <c r="X3" i="73"/>
  <c r="Z7" i="73"/>
  <c r="M9" i="73"/>
  <c r="S3" i="73"/>
  <c r="U7" i="73"/>
  <c r="R10" i="73"/>
  <c r="H6" i="73"/>
  <c r="L8" i="73"/>
  <c r="AC3" i="73"/>
  <c r="X2" i="73"/>
  <c r="Z3" i="73"/>
  <c r="AA8" i="73"/>
  <c r="AC10" i="73"/>
  <c r="U3" i="73"/>
  <c r="O9" i="73"/>
  <c r="W3" i="73"/>
  <c r="Z10" i="73"/>
  <c r="J10" i="73"/>
  <c r="R7" i="73"/>
  <c r="H8" i="73"/>
  <c r="AB4" i="73"/>
  <c r="S5" i="73"/>
  <c r="W2" i="73"/>
  <c r="Q3" i="73"/>
  <c r="U6" i="73"/>
  <c r="R9" i="73"/>
  <c r="W8" i="73"/>
  <c r="AC2" i="73"/>
  <c r="L9" i="73"/>
  <c r="J6" i="73"/>
  <c r="AE9" i="73"/>
  <c r="T7" i="73"/>
  <c r="V10" i="73"/>
  <c r="V4" i="73"/>
  <c r="H4" i="73"/>
  <c r="U4" i="73"/>
  <c r="Y8" i="73"/>
  <c r="N9" i="73"/>
  <c r="K3" i="73"/>
  <c r="J7" i="73"/>
  <c r="J8" i="73"/>
  <c r="AE4" i="73"/>
  <c r="P9" i="73"/>
  <c r="AC7" i="73"/>
  <c r="I6" i="73"/>
  <c r="T2" i="73"/>
  <c r="AD10" i="73"/>
  <c r="W5" i="73"/>
  <c r="P5" i="73"/>
  <c r="S9" i="73"/>
  <c r="AE6" i="73"/>
  <c r="O3" i="73"/>
  <c r="J2" i="73"/>
  <c r="I2" i="73"/>
  <c r="Q9" i="73"/>
  <c r="U2" i="73"/>
  <c r="AE2" i="73"/>
  <c r="Z4" i="73"/>
  <c r="R6" i="73"/>
  <c r="V3" i="73"/>
  <c r="AD5" i="73"/>
  <c r="Y9" i="73"/>
  <c r="AD3" i="73"/>
  <c r="P2" i="73"/>
  <c r="K6" i="73"/>
  <c r="Y3" i="73"/>
  <c r="AF10" i="73"/>
  <c r="Y4" i="73"/>
  <c r="H9" i="73"/>
  <c r="N10" i="73"/>
  <c r="AF8" i="73"/>
  <c r="X5" i="73"/>
  <c r="P7" i="73"/>
  <c r="N3" i="73"/>
  <c r="Z2" i="73"/>
  <c r="T4" i="73"/>
  <c r="K5" i="73"/>
  <c r="Z9" i="73"/>
  <c r="Q4" i="73"/>
  <c r="S10" i="73"/>
  <c r="V7" i="73"/>
  <c r="AB8" i="73"/>
  <c r="R8" i="73"/>
  <c r="L3" i="73"/>
  <c r="V8" i="73"/>
  <c r="AF4" i="73"/>
  <c r="N2" i="73"/>
  <c r="AB7" i="73"/>
  <c r="S2" i="73"/>
  <c r="M2" i="73"/>
  <c r="N7" i="73"/>
  <c r="Z6" i="73"/>
  <c r="V9" i="73"/>
  <c r="M3" i="73"/>
  <c r="X4" i="73"/>
  <c r="AE5" i="73"/>
  <c r="AA6" i="73"/>
  <c r="I8" i="73"/>
  <c r="P10" i="73"/>
  <c r="O5" i="73"/>
  <c r="Q6" i="73"/>
  <c r="AD4" i="73"/>
  <c r="T3" i="73"/>
  <c r="Q5" i="73"/>
  <c r="O2" i="73"/>
  <c r="H7" i="73"/>
  <c r="I7" i="73"/>
  <c r="AA4" i="73"/>
  <c r="I5" i="73"/>
  <c r="Q8" i="73"/>
  <c r="R3" i="73"/>
  <c r="K9" i="73"/>
  <c r="AB9" i="73"/>
  <c r="M5" i="73"/>
  <c r="Y10" i="73"/>
  <c r="AA9" i="73"/>
  <c r="V6" i="73"/>
  <c r="Y2" i="73"/>
  <c r="AB10" i="73"/>
  <c r="AD2" i="73"/>
  <c r="K4" i="73"/>
  <c r="U9" i="73"/>
  <c r="O7" i="73"/>
  <c r="P8" i="73"/>
  <c r="K10" i="73"/>
  <c r="AA2" i="73"/>
  <c r="T10" i="73"/>
  <c r="X8" i="73"/>
  <c r="L10" i="73"/>
  <c r="S4" i="73"/>
  <c r="AC6" i="73"/>
  <c r="P6" i="73"/>
  <c r="J5" i="73"/>
  <c r="AB2" i="73"/>
  <c r="O6" i="73"/>
  <c r="Q7" i="73"/>
  <c r="L6" i="73"/>
  <c r="AA10" i="73"/>
  <c r="V2" i="73"/>
  <c r="AE3" i="73"/>
  <c r="AD8" i="73"/>
  <c r="O8" i="73"/>
  <c r="N8" i="73"/>
  <c r="N12" i="73" l="1"/>
  <c r="W8" i="185" s="1"/>
  <c r="V8" i="185" s="1"/>
  <c r="AF12" i="73"/>
  <c r="W26" i="185" s="1"/>
  <c r="V26" i="185" s="1"/>
  <c r="Q12" i="73"/>
  <c r="W11" i="185" s="1"/>
  <c r="V11" i="185" s="1"/>
  <c r="I12" i="73"/>
  <c r="W3" i="185" s="1"/>
  <c r="V3" i="185" s="1"/>
  <c r="W12" i="73"/>
  <c r="W17" i="185" s="1"/>
  <c r="V17" i="185" s="1"/>
  <c r="AB12" i="73"/>
  <c r="W22" i="185" s="1"/>
  <c r="V22" i="185" s="1"/>
  <c r="H12" i="73"/>
  <c r="W2" i="185" s="1"/>
  <c r="V2" i="185" s="1"/>
  <c r="AD12" i="73"/>
  <c r="W24" i="185" s="1"/>
  <c r="V24" i="185" s="1"/>
  <c r="U12" i="73"/>
  <c r="W15" i="185" s="1"/>
  <c r="V15" i="185" s="1"/>
  <c r="AE12" i="73"/>
  <c r="W25" i="185" s="1"/>
  <c r="V25" i="185" s="1"/>
  <c r="V12" i="73"/>
  <c r="W16" i="185" s="1"/>
  <c r="V16" i="185" s="1"/>
  <c r="X12" i="73"/>
  <c r="W18" i="185" s="1"/>
  <c r="V18" i="185" s="1"/>
  <c r="AC12" i="73"/>
  <c r="W23" i="185" s="1"/>
  <c r="V23" i="185" s="1"/>
  <c r="Z12" i="73"/>
  <c r="W20" i="185" s="1"/>
  <c r="V20" i="185" s="1"/>
  <c r="L12" i="73"/>
  <c r="W6" i="185" s="1"/>
  <c r="V6" i="185" s="1"/>
  <c r="J12" i="73"/>
  <c r="W4" i="185" s="1"/>
  <c r="V4" i="185" s="1"/>
  <c r="AA12" i="73"/>
  <c r="W21" i="185" s="1"/>
  <c r="V21" i="185" s="1"/>
  <c r="R12" i="73"/>
  <c r="W12" i="185" s="1"/>
  <c r="V12" i="185" s="1"/>
  <c r="M12" i="73"/>
  <c r="W7" i="185" s="1"/>
  <c r="V7" i="185" s="1"/>
  <c r="O12" i="73"/>
  <c r="W9" i="185" s="1"/>
  <c r="V9" i="185" s="1"/>
  <c r="K12" i="73"/>
  <c r="W5" i="185" s="1"/>
  <c r="V5" i="185" s="1"/>
  <c r="T12" i="73"/>
  <c r="W14" i="185" s="1"/>
  <c r="V14" i="185" s="1"/>
  <c r="P12" i="73"/>
  <c r="W10" i="185" s="1"/>
  <c r="V10" i="185" s="1"/>
  <c r="S12" i="73"/>
  <c r="W13" i="185" s="1"/>
  <c r="V13" i="185" s="1"/>
  <c r="Y12" i="73"/>
  <c r="W19" i="185" s="1"/>
  <c r="V19" i="185" s="1"/>
  <c r="L30" i="185" l="1"/>
  <c r="K31" i="185"/>
  <c r="J29" i="185"/>
  <c r="H30" i="185"/>
  <c r="I32" i="185"/>
  <c r="K32" i="185"/>
  <c r="L29" i="185"/>
  <c r="J31" i="185"/>
  <c r="I30" i="185"/>
  <c r="H29" i="185"/>
  <c r="G29" i="185"/>
  <c r="K29" i="185"/>
  <c r="L32" i="185"/>
  <c r="H32" i="185"/>
  <c r="J30" i="185"/>
  <c r="I31" i="185"/>
  <c r="I28" i="185"/>
  <c r="H28" i="185"/>
  <c r="J28" i="185"/>
  <c r="G28" i="185"/>
  <c r="L28" i="185"/>
  <c r="K28" i="185"/>
  <c r="G30" i="185"/>
  <c r="G32" i="185"/>
  <c r="H31" i="185"/>
  <c r="I29" i="185"/>
  <c r="L31" i="185"/>
  <c r="J32" i="185"/>
  <c r="K30" i="185"/>
  <c r="G31" i="185"/>
  <c r="G33" i="185" l="1"/>
  <c r="G36" i="185"/>
  <c r="J36" i="185"/>
  <c r="J33" i="185"/>
  <c r="K36" i="185"/>
  <c r="K33" i="185"/>
  <c r="H33" i="185"/>
  <c r="H36" i="185"/>
  <c r="L33" i="185"/>
  <c r="L36" i="185"/>
  <c r="I33" i="185"/>
  <c r="I36" i="185"/>
</calcChain>
</file>

<file path=xl/sharedStrings.xml><?xml version="1.0" encoding="utf-8"?>
<sst xmlns="http://schemas.openxmlformats.org/spreadsheetml/2006/main" count="2674" uniqueCount="31">
  <si>
    <t>Montage</t>
  </si>
  <si>
    <t>Ligo</t>
  </si>
  <si>
    <t>Epigenomics</t>
  </si>
  <si>
    <t>Orthogonal Array</t>
    <phoneticPr fontId="1" type="noConversion"/>
  </si>
  <si>
    <t>Range(Delta)</t>
  </si>
  <si>
    <t>Level</t>
  </si>
  <si>
    <t>run</t>
    <phoneticPr fontId="1" type="noConversion"/>
  </si>
  <si>
    <t>ARV</t>
  </si>
  <si>
    <t>Sum</t>
    <phoneticPr fontId="1" type="noConversion"/>
  </si>
  <si>
    <t>Min</t>
    <phoneticPr fontId="1" type="noConversion"/>
  </si>
  <si>
    <t>ra</t>
    <phoneticPr fontId="1" type="noConversion"/>
  </si>
  <si>
    <t>average</t>
  </si>
  <si>
    <t>sum</t>
    <phoneticPr fontId="1" type="noConversion"/>
  </si>
  <si>
    <t>ty</t>
    <phoneticPr fontId="1" type="noConversion"/>
  </si>
  <si>
    <t>sz</t>
    <phoneticPr fontId="1" type="noConversion"/>
  </si>
  <si>
    <t>ε</t>
    <phoneticPr fontId="1" type="noConversion"/>
  </si>
  <si>
    <t>SUM</t>
    <phoneticPr fontId="1" type="noConversion"/>
  </si>
  <si>
    <t>the population size factor：ε</t>
  </si>
  <si>
    <t>θ1</t>
    <phoneticPr fontId="1" type="noConversion"/>
  </si>
  <si>
    <t>θ2</t>
    <phoneticPr fontId="1" type="noConversion"/>
  </si>
  <si>
    <t>Рe</t>
    <phoneticPr fontId="1" type="noConversion"/>
  </si>
  <si>
    <t>Pi</t>
    <phoneticPr fontId="1" type="noConversion"/>
  </si>
  <si>
    <r>
      <t>the ratio of runtime in stage 1</t>
    </r>
    <r>
      <rPr>
        <i/>
        <sz val="12"/>
        <rFont val="宋体"/>
        <family val="3"/>
        <charset val="134"/>
      </rPr>
      <t>：</t>
    </r>
    <r>
      <rPr>
        <i/>
        <sz val="12"/>
        <rFont val="Times New Roman"/>
        <family val="1"/>
      </rPr>
      <t>φ</t>
    </r>
    <phoneticPr fontId="1" type="noConversion"/>
  </si>
  <si>
    <t>φ</t>
    <phoneticPr fontId="1" type="noConversion"/>
  </si>
  <si>
    <r>
      <t>the updata rate of MPM</t>
    </r>
    <r>
      <rPr>
        <i/>
        <sz val="12"/>
        <rFont val="宋体"/>
        <family val="3"/>
        <charset val="134"/>
      </rPr>
      <t>：</t>
    </r>
    <r>
      <rPr>
        <i/>
        <sz val="12"/>
        <rFont val="Times New Roman"/>
        <family val="1"/>
      </rPr>
      <t>θ1</t>
    </r>
    <phoneticPr fontId="1" type="noConversion"/>
  </si>
  <si>
    <r>
      <t>the updata rate of SPM</t>
    </r>
    <r>
      <rPr>
        <i/>
        <sz val="12"/>
        <rFont val="宋体"/>
        <family val="3"/>
        <charset val="134"/>
      </rPr>
      <t>：</t>
    </r>
    <r>
      <rPr>
        <i/>
        <sz val="12"/>
        <rFont val="Times New Roman"/>
        <family val="1"/>
      </rPr>
      <t>θ2</t>
    </r>
    <phoneticPr fontId="1" type="noConversion"/>
  </si>
  <si>
    <r>
      <t>the elite rate</t>
    </r>
    <r>
      <rPr>
        <i/>
        <sz val="12"/>
        <rFont val="宋体"/>
        <family val="3"/>
        <charset val="134"/>
      </rPr>
      <t>：</t>
    </r>
    <r>
      <rPr>
        <i/>
        <sz val="12"/>
        <rFont val="Times New Roman"/>
        <family val="1"/>
      </rPr>
      <t>Pe</t>
    </r>
    <phoneticPr fontId="1" type="noConversion"/>
  </si>
  <si>
    <r>
      <t>the improvement rate</t>
    </r>
    <r>
      <rPr>
        <i/>
        <sz val="12"/>
        <rFont val="宋体"/>
        <family val="3"/>
        <charset val="134"/>
      </rPr>
      <t>：</t>
    </r>
    <r>
      <rPr>
        <i/>
        <sz val="12"/>
        <rFont val="Times New Roman"/>
        <family val="1"/>
      </rPr>
      <t>Pi</t>
    </r>
    <phoneticPr fontId="1" type="noConversion"/>
  </si>
  <si>
    <t>Montage</t>
    <phoneticPr fontId="1" type="noConversion"/>
  </si>
  <si>
    <t>E,L,M</t>
    <phoneticPr fontId="1" type="noConversion"/>
  </si>
  <si>
    <t>Aver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</si>
</sst>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4" formatCode="_ &quot;¥&quot;* #,##0.00_ ;_ &quot;¥&quot;* \-#,##0.00_ ;_ &quot;¥&quot;* &quot;-&quot;??_ ;_ @_ "/>
    <numFmt numFmtId="176" formatCode="0.00000_ "/>
    <numFmt numFmtId="177" formatCode="0.0000000_ "/>
    <numFmt numFmtId="178" formatCode="0.0000000_);[Red]\(0.0000000\)"/>
    <numFmt numFmtId="179" formatCode="0.0_ "/>
    <numFmt numFmtId="180" formatCode="0.00_ "/>
    <numFmt numFmtId="181" formatCode="0.000000_ "/>
    <numFmt numFmtId="182" formatCode="0.00000000_ "/>
    <numFmt numFmtId="183" formatCode="0.00_);[Red]\(0.00\)"/>
    <numFmt numFmtId="184" formatCode="0_);[Red]\(0\)"/>
  </numFmts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FF0000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11"/>
      <color rgb="FFFF0000"/>
      <name val="宋体"/>
      <family val="3"/>
      <charset val="134"/>
    </font>
    <font>
      <sz val="11"/>
      <name val="等线"/>
      <family val="2"/>
      <scheme val="minor"/>
    </font>
    <font>
      <i/>
      <sz val="12"/>
      <name val="宋体"/>
      <family val="3"/>
      <charset val="134"/>
    </font>
    <font>
      <i/>
      <sz val="12"/>
      <name val="等线"/>
      <family val="3"/>
      <charset val="134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178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/>
    <xf numFmtId="0" fontId="3" fillId="0" borderId="1" xfId="0" applyFont="1" applyBorder="1"/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78" fontId="2" fillId="0" borderId="1" xfId="0" applyNumberFormat="1" applyFont="1" applyBorder="1"/>
    <xf numFmtId="179" fontId="2" fillId="0" borderId="1" xfId="0" applyNumberFormat="1" applyFont="1" applyBorder="1" applyAlignment="1">
      <alignment horizontal="center" vertical="center"/>
    </xf>
    <xf numFmtId="44" fontId="7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/>
    <xf numFmtId="177" fontId="3" fillId="2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2" fillId="2" borderId="1" xfId="0" applyNumberFormat="1" applyFont="1" applyFill="1" applyBorder="1"/>
    <xf numFmtId="176" fontId="0" fillId="0" borderId="0" xfId="0" applyNumberFormat="1"/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/>
    <xf numFmtId="177" fontId="7" fillId="0" borderId="1" xfId="0" applyNumberFormat="1" applyFont="1" applyBorder="1"/>
    <xf numFmtId="0" fontId="7" fillId="0" borderId="1" xfId="0" applyFont="1" applyFill="1" applyBorder="1" applyAlignment="1">
      <alignment horizontal="center" vertical="center" wrapText="1"/>
    </xf>
    <xf numFmtId="180" fontId="7" fillId="0" borderId="1" xfId="0" applyNumberFormat="1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0" fontId="4" fillId="0" borderId="1" xfId="0" applyFont="1" applyBorder="1"/>
    <xf numFmtId="177" fontId="4" fillId="0" borderId="1" xfId="0" applyNumberFormat="1" applyFont="1" applyBorder="1" applyAlignment="1">
      <alignment horizontal="center" vertical="center"/>
    </xf>
    <xf numFmtId="177" fontId="8" fillId="0" borderId="1" xfId="0" applyNumberFormat="1" applyFont="1" applyBorder="1" applyAlignment="1">
      <alignment horizontal="center" vertical="center"/>
    </xf>
    <xf numFmtId="0" fontId="5" fillId="0" borderId="1" xfId="0" applyFont="1" applyBorder="1"/>
    <xf numFmtId="0" fontId="5" fillId="2" borderId="1" xfId="0" applyFont="1" applyFill="1" applyBorder="1" applyAlignment="1">
      <alignment wrapText="1"/>
    </xf>
    <xf numFmtId="0" fontId="5" fillId="2" borderId="1" xfId="0" applyFont="1" applyFill="1" applyBorder="1"/>
    <xf numFmtId="182" fontId="7" fillId="0" borderId="1" xfId="0" applyNumberFormat="1" applyFont="1" applyBorder="1" applyAlignment="1">
      <alignment horizontal="center" vertical="center"/>
    </xf>
    <xf numFmtId="177" fontId="7" fillId="2" borderId="1" xfId="0" applyNumberFormat="1" applyFont="1" applyFill="1" applyBorder="1"/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/>
    <xf numFmtId="0" fontId="7" fillId="2" borderId="1" xfId="0" applyFont="1" applyFill="1" applyBorder="1" applyAlignment="1"/>
    <xf numFmtId="0" fontId="7" fillId="2" borderId="1" xfId="0" applyFont="1" applyFill="1" applyBorder="1" applyAlignment="1">
      <alignment horizontal="center"/>
    </xf>
    <xf numFmtId="177" fontId="7" fillId="2" borderId="1" xfId="0" applyNumberFormat="1" applyFont="1" applyFill="1" applyBorder="1" applyAlignment="1">
      <alignment horizontal="center" vertical="center"/>
    </xf>
    <xf numFmtId="0" fontId="7" fillId="0" borderId="0" xfId="0" applyFont="1"/>
    <xf numFmtId="181" fontId="7" fillId="0" borderId="0" xfId="0" applyNumberFormat="1" applyFont="1"/>
    <xf numFmtId="0" fontId="5" fillId="0" borderId="1" xfId="0" applyFont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184" fontId="5" fillId="2" borderId="1" xfId="0" applyNumberFormat="1" applyFont="1" applyFill="1" applyBorder="1" applyAlignment="1">
      <alignment horizontal="center" vertical="center" wrapText="1"/>
    </xf>
    <xf numFmtId="183" fontId="5" fillId="2" borderId="1" xfId="0" applyNumberFormat="1" applyFont="1" applyFill="1" applyBorder="1" applyAlignment="1">
      <alignment horizontal="center" vertical="center"/>
    </xf>
    <xf numFmtId="183" fontId="5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44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180" fontId="2" fillId="0" borderId="1" xfId="0" applyNumberFormat="1" applyFont="1" applyBorder="1"/>
    <xf numFmtId="180" fontId="0" fillId="0" borderId="0" xfId="0" applyNumberFormat="1"/>
    <xf numFmtId="180" fontId="0" fillId="0" borderId="0" xfId="0" applyNumberFormat="1" applyAlignment="1">
      <alignment horizontal="center"/>
    </xf>
    <xf numFmtId="181" fontId="0" fillId="0" borderId="0" xfId="0" applyNumberFormat="1"/>
    <xf numFmtId="0" fontId="5" fillId="0" borderId="1" xfId="0" applyFont="1" applyBorder="1" applyAlignment="1">
      <alignment horizontal="center" vertical="center"/>
    </xf>
    <xf numFmtId="177" fontId="1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7" fillId="0" borderId="2" xfId="0" applyFont="1" applyBorder="1" applyAlignment="1"/>
    <xf numFmtId="0" fontId="9" fillId="0" borderId="3" xfId="0" applyFont="1" applyBorder="1" applyAlignment="1"/>
  </cellXfs>
  <cellStyles count="1">
    <cellStyle name="常规" xfId="0" builtinId="0"/>
  </cellStyles>
  <dxfs count="2"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517711</xdr:colOff>
      <xdr:row>22</xdr:row>
      <xdr:rowOff>192741</xdr:rowOff>
    </xdr:from>
    <xdr:ext cx="65" cy="17222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413561" y="47647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7"/>
  <sheetViews>
    <sheetView tabSelected="1" zoomScale="78" zoomScaleNormal="78" workbookViewId="0">
      <selection activeCell="P35" sqref="P35"/>
    </sheetView>
  </sheetViews>
  <sheetFormatPr defaultColWidth="8.875" defaultRowHeight="15" x14ac:dyDescent="0.25"/>
  <cols>
    <col min="1" max="1" width="28.375" style="43" customWidth="1"/>
    <col min="2" max="5" width="5.875" style="43" bestFit="1" customWidth="1"/>
    <col min="6" max="6" width="6" style="43" bestFit="1" customWidth="1"/>
    <col min="7" max="12" width="11.75" style="43" customWidth="1"/>
    <col min="13" max="13" width="6" style="43" customWidth="1"/>
    <col min="14" max="14" width="4.5" style="43" bestFit="1" customWidth="1"/>
    <col min="15" max="19" width="5.75" style="43" bestFit="1" customWidth="1"/>
    <col min="20" max="20" width="6.25" style="43" bestFit="1" customWidth="1"/>
    <col min="21" max="21" width="4.625" style="43" customWidth="1"/>
    <col min="22" max="23" width="10.75" style="43" customWidth="1"/>
    <col min="24" max="24" width="13.375" style="4" customWidth="1"/>
    <col min="25" max="25" width="10.5" style="3" customWidth="1"/>
    <col min="26" max="28" width="8.875" style="3"/>
    <col min="29" max="29" width="12.125" style="3" bestFit="1" customWidth="1"/>
    <col min="30" max="34" width="8.875" style="3"/>
    <col min="35" max="37" width="10.375" style="3" bestFit="1" customWidth="1"/>
    <col min="38" max="16384" width="8.875" style="3"/>
  </cols>
  <sheetData>
    <row r="1" spans="1:48" s="7" customFormat="1" ht="19.5" customHeight="1" x14ac:dyDescent="0.25">
      <c r="A1" s="45"/>
      <c r="B1" s="46">
        <v>1</v>
      </c>
      <c r="C1" s="13">
        <v>2</v>
      </c>
      <c r="D1" s="13">
        <v>3</v>
      </c>
      <c r="E1" s="13">
        <v>4</v>
      </c>
      <c r="F1" s="47">
        <v>5</v>
      </c>
      <c r="G1" s="61" t="s">
        <v>3</v>
      </c>
      <c r="H1" s="61"/>
      <c r="I1" s="61"/>
      <c r="J1" s="61"/>
      <c r="K1" s="61"/>
      <c r="L1" s="61"/>
      <c r="M1" s="33"/>
      <c r="N1" s="13" t="s">
        <v>6</v>
      </c>
      <c r="O1" s="14" t="s">
        <v>15</v>
      </c>
      <c r="P1" s="14" t="s">
        <v>18</v>
      </c>
      <c r="Q1" s="53" t="s">
        <v>19</v>
      </c>
      <c r="R1" s="14" t="s">
        <v>20</v>
      </c>
      <c r="S1" s="14" t="s">
        <v>21</v>
      </c>
      <c r="T1" s="14" t="s">
        <v>23</v>
      </c>
      <c r="U1" s="34"/>
      <c r="V1" s="23" t="s">
        <v>7</v>
      </c>
      <c r="W1" s="24" t="s">
        <v>8</v>
      </c>
      <c r="X1" s="8"/>
      <c r="Y1" s="8"/>
      <c r="Z1" s="8"/>
      <c r="AA1" s="8"/>
      <c r="AB1" s="8"/>
      <c r="AC1" s="8"/>
      <c r="AD1" s="8"/>
      <c r="AF1" s="8"/>
      <c r="AG1" s="8"/>
      <c r="AH1" s="8"/>
      <c r="AI1" s="8"/>
      <c r="AJ1" s="8"/>
      <c r="AK1" s="8"/>
      <c r="AL1" s="8"/>
      <c r="AM1" s="8"/>
      <c r="AO1" s="8"/>
      <c r="AP1" s="16"/>
      <c r="AQ1" s="16"/>
      <c r="AR1" s="16"/>
      <c r="AS1" s="8"/>
      <c r="AT1" s="16"/>
      <c r="AU1" s="16"/>
      <c r="AV1" s="16"/>
    </row>
    <row r="2" spans="1:48" s="7" customFormat="1" ht="15.75" x14ac:dyDescent="0.25">
      <c r="A2" s="14" t="s">
        <v>17</v>
      </c>
      <c r="B2" s="48">
        <v>0.6</v>
      </c>
      <c r="C2" s="48">
        <v>0.8</v>
      </c>
      <c r="D2" s="48">
        <v>1</v>
      </c>
      <c r="E2" s="48">
        <v>1.2</v>
      </c>
      <c r="F2" s="48">
        <v>1.4</v>
      </c>
      <c r="G2" s="23">
        <v>1</v>
      </c>
      <c r="H2" s="23">
        <v>1</v>
      </c>
      <c r="I2" s="23">
        <v>1</v>
      </c>
      <c r="J2" s="23">
        <v>1</v>
      </c>
      <c r="K2" s="23">
        <v>1</v>
      </c>
      <c r="L2" s="23">
        <v>1</v>
      </c>
      <c r="M2" s="24"/>
      <c r="N2" s="27">
        <v>1</v>
      </c>
      <c r="O2" s="28">
        <f>HLOOKUP(G2,$B$1:$F$7,2)</f>
        <v>0.6</v>
      </c>
      <c r="P2" s="28">
        <f>HLOOKUP(H2,$B$1:$F$7,3)</f>
        <v>0.05</v>
      </c>
      <c r="Q2" s="28">
        <f>HLOOKUP(I2,$B$1:$F$7,4)</f>
        <v>0.05</v>
      </c>
      <c r="R2" s="28">
        <f>HLOOKUP(J2,$B$1:$F$7,5)</f>
        <v>0.01</v>
      </c>
      <c r="S2" s="28">
        <f>HLOOKUP(K2,$B$1:$F$7,6)</f>
        <v>0.02</v>
      </c>
      <c r="T2" s="28">
        <f>HLOOKUP(L2,$B$1:$F$7,7)</f>
        <v>0.25</v>
      </c>
      <c r="U2" s="25"/>
      <c r="V2" s="29">
        <f ca="1">W2/90</f>
        <v>2.5896445463102465E-3</v>
      </c>
      <c r="W2" s="29">
        <f ca="1">Total!H12</f>
        <v>0.2330680091679222</v>
      </c>
      <c r="X2" s="10"/>
      <c r="Y2" s="10"/>
      <c r="Z2" s="10"/>
      <c r="AB2" s="10"/>
      <c r="AC2" s="10"/>
      <c r="AD2" s="10"/>
      <c r="AG2" s="10"/>
      <c r="AH2" s="10"/>
      <c r="AI2" s="10"/>
      <c r="AK2" s="10"/>
      <c r="AL2" s="10"/>
      <c r="AM2" s="10"/>
      <c r="AP2" s="10"/>
      <c r="AQ2" s="10"/>
      <c r="AR2" s="10"/>
      <c r="AT2" s="10"/>
      <c r="AU2" s="10"/>
      <c r="AV2" s="10"/>
    </row>
    <row r="3" spans="1:48" s="7" customFormat="1" ht="15.75" x14ac:dyDescent="0.25">
      <c r="A3" s="14" t="s">
        <v>24</v>
      </c>
      <c r="B3" s="48">
        <v>0.05</v>
      </c>
      <c r="C3" s="48">
        <v>0.1</v>
      </c>
      <c r="D3" s="48">
        <v>0.15</v>
      </c>
      <c r="E3" s="48">
        <v>0.2</v>
      </c>
      <c r="F3" s="48">
        <v>0.25</v>
      </c>
      <c r="G3" s="23">
        <v>1</v>
      </c>
      <c r="H3" s="23">
        <v>2</v>
      </c>
      <c r="I3" s="23">
        <v>3</v>
      </c>
      <c r="J3" s="23">
        <v>4</v>
      </c>
      <c r="K3" s="23">
        <v>5</v>
      </c>
      <c r="L3" s="23">
        <v>2</v>
      </c>
      <c r="M3" s="24"/>
      <c r="N3" s="27">
        <v>2</v>
      </c>
      <c r="O3" s="28">
        <f t="shared" ref="O3:O26" si="0">HLOOKUP(G3,$B$1:$F$7,2)</f>
        <v>0.6</v>
      </c>
      <c r="P3" s="28">
        <f t="shared" ref="P3:P26" si="1">HLOOKUP(H3,$B$1:$F$7,3)</f>
        <v>0.1</v>
      </c>
      <c r="Q3" s="28">
        <f t="shared" ref="Q3:Q26" si="2">HLOOKUP(I3,$B$1:$F$7,4)</f>
        <v>0.15</v>
      </c>
      <c r="R3" s="28">
        <f t="shared" ref="R3:R26" si="3">HLOOKUP(J3,$B$1:$F$7,5)</f>
        <v>0.04</v>
      </c>
      <c r="S3" s="28">
        <f t="shared" ref="S3:S26" si="4">HLOOKUP(K3,$B$1:$F$7,6)</f>
        <v>0.1</v>
      </c>
      <c r="T3" s="28">
        <f t="shared" ref="T3:T26" si="5">HLOOKUP(L3,$B$1:$F$7,7)</f>
        <v>0.3</v>
      </c>
      <c r="U3" s="26"/>
      <c r="V3" s="29">
        <f t="shared" ref="V3:V26" ca="1" si="6">W3/90</f>
        <v>2.1064859192955285E-3</v>
      </c>
      <c r="W3" s="29">
        <f ca="1">Total!I12</f>
        <v>0.18958373273659757</v>
      </c>
      <c r="X3" s="29"/>
      <c r="Y3" s="10"/>
      <c r="Z3" s="10"/>
      <c r="AB3" s="10"/>
      <c r="AC3" s="10"/>
      <c r="AD3" s="10"/>
      <c r="AG3" s="10"/>
      <c r="AH3" s="10"/>
      <c r="AI3" s="10"/>
      <c r="AK3" s="10"/>
      <c r="AL3" s="10"/>
      <c r="AM3" s="10"/>
      <c r="AP3" s="10"/>
      <c r="AQ3" s="10"/>
      <c r="AR3" s="10"/>
      <c r="AT3" s="10"/>
      <c r="AU3" s="10"/>
      <c r="AV3" s="10"/>
    </row>
    <row r="4" spans="1:48" s="7" customFormat="1" ht="15.75" x14ac:dyDescent="0.25">
      <c r="A4" s="14" t="s">
        <v>25</v>
      </c>
      <c r="B4" s="48">
        <v>0.05</v>
      </c>
      <c r="C4" s="48">
        <v>0.1</v>
      </c>
      <c r="D4" s="48">
        <v>0.15</v>
      </c>
      <c r="E4" s="48">
        <v>0.2</v>
      </c>
      <c r="F4" s="48">
        <v>0.25</v>
      </c>
      <c r="G4" s="23">
        <v>1</v>
      </c>
      <c r="H4" s="23">
        <v>3</v>
      </c>
      <c r="I4" s="23">
        <v>5</v>
      </c>
      <c r="J4" s="23">
        <v>2</v>
      </c>
      <c r="K4" s="23">
        <v>4</v>
      </c>
      <c r="L4" s="23">
        <v>3</v>
      </c>
      <c r="M4" s="24"/>
      <c r="N4" s="27">
        <v>3</v>
      </c>
      <c r="O4" s="28">
        <f t="shared" si="0"/>
        <v>0.6</v>
      </c>
      <c r="P4" s="28">
        <f t="shared" si="1"/>
        <v>0.15</v>
      </c>
      <c r="Q4" s="28">
        <f t="shared" si="2"/>
        <v>0.25</v>
      </c>
      <c r="R4" s="28">
        <f t="shared" si="3"/>
        <v>0.02</v>
      </c>
      <c r="S4" s="28">
        <f t="shared" si="4"/>
        <v>0.08</v>
      </c>
      <c r="T4" s="28">
        <f t="shared" si="5"/>
        <v>0.35</v>
      </c>
      <c r="U4" s="25"/>
      <c r="V4" s="29">
        <f t="shared" ca="1" si="6"/>
        <v>2.1103631436704476E-3</v>
      </c>
      <c r="W4" s="29">
        <f ca="1">Total!J12</f>
        <v>0.18993268293034027</v>
      </c>
      <c r="X4" s="29"/>
      <c r="Y4" s="10"/>
      <c r="Z4" s="10"/>
      <c r="AB4" s="10"/>
      <c r="AC4" s="10"/>
      <c r="AD4" s="10"/>
      <c r="AG4" s="10"/>
      <c r="AH4" s="10"/>
      <c r="AI4" s="10"/>
      <c r="AK4" s="10"/>
      <c r="AL4" s="10"/>
      <c r="AM4" s="10"/>
      <c r="AP4" s="10"/>
      <c r="AQ4" s="10"/>
      <c r="AR4" s="10"/>
      <c r="AT4" s="10"/>
      <c r="AU4" s="10"/>
      <c r="AV4" s="10"/>
    </row>
    <row r="5" spans="1:48" s="7" customFormat="1" ht="15.75" x14ac:dyDescent="0.25">
      <c r="A5" s="14" t="s">
        <v>26</v>
      </c>
      <c r="B5" s="48">
        <v>0.01</v>
      </c>
      <c r="C5" s="48">
        <v>0.02</v>
      </c>
      <c r="D5" s="48">
        <v>0.03</v>
      </c>
      <c r="E5" s="48">
        <v>0.04</v>
      </c>
      <c r="F5" s="48">
        <v>0.05</v>
      </c>
      <c r="G5" s="23">
        <v>1</v>
      </c>
      <c r="H5" s="23">
        <v>4</v>
      </c>
      <c r="I5" s="23">
        <v>2</v>
      </c>
      <c r="J5" s="23">
        <v>5</v>
      </c>
      <c r="K5" s="23">
        <v>3</v>
      </c>
      <c r="L5" s="23">
        <v>4</v>
      </c>
      <c r="M5" s="24"/>
      <c r="N5" s="27">
        <v>4</v>
      </c>
      <c r="O5" s="28">
        <f t="shared" si="0"/>
        <v>0.6</v>
      </c>
      <c r="P5" s="28">
        <f t="shared" si="1"/>
        <v>0.2</v>
      </c>
      <c r="Q5" s="28">
        <f t="shared" si="2"/>
        <v>0.1</v>
      </c>
      <c r="R5" s="28">
        <f t="shared" si="3"/>
        <v>0.05</v>
      </c>
      <c r="S5" s="28">
        <f t="shared" si="4"/>
        <v>0.06</v>
      </c>
      <c r="T5" s="28">
        <f t="shared" si="5"/>
        <v>0.4</v>
      </c>
      <c r="U5" s="25"/>
      <c r="V5" s="29">
        <f t="shared" ca="1" si="6"/>
        <v>2.1277318759925141E-3</v>
      </c>
      <c r="W5" s="29">
        <f ca="1">Total!K12</f>
        <v>0.19149586883932626</v>
      </c>
      <c r="X5" s="29"/>
      <c r="Y5" s="10"/>
      <c r="Z5" s="10"/>
      <c r="AB5" s="10"/>
      <c r="AC5" s="10"/>
      <c r="AD5" s="10"/>
      <c r="AG5" s="10"/>
      <c r="AH5" s="10"/>
      <c r="AI5" s="10"/>
      <c r="AK5" s="10"/>
      <c r="AL5" s="10"/>
      <c r="AM5" s="10"/>
      <c r="AP5" s="10"/>
      <c r="AQ5" s="10"/>
      <c r="AR5" s="10"/>
      <c r="AT5" s="10"/>
      <c r="AU5" s="10"/>
      <c r="AV5" s="10"/>
    </row>
    <row r="6" spans="1:48" s="7" customFormat="1" ht="14.25" customHeight="1" x14ac:dyDescent="0.25">
      <c r="A6" s="14" t="s">
        <v>27</v>
      </c>
      <c r="B6" s="48">
        <v>0.02</v>
      </c>
      <c r="C6" s="48">
        <v>0.04</v>
      </c>
      <c r="D6" s="48">
        <v>0.06</v>
      </c>
      <c r="E6" s="48">
        <v>0.08</v>
      </c>
      <c r="F6" s="48">
        <v>0.1</v>
      </c>
      <c r="G6" s="23">
        <v>1</v>
      </c>
      <c r="H6" s="23">
        <v>5</v>
      </c>
      <c r="I6" s="23">
        <v>4</v>
      </c>
      <c r="J6" s="23">
        <v>3</v>
      </c>
      <c r="K6" s="23">
        <v>2</v>
      </c>
      <c r="L6" s="23">
        <v>5</v>
      </c>
      <c r="M6" s="24"/>
      <c r="N6" s="27">
        <v>5</v>
      </c>
      <c r="O6" s="28">
        <f t="shared" si="0"/>
        <v>0.6</v>
      </c>
      <c r="P6" s="28">
        <f t="shared" si="1"/>
        <v>0.25</v>
      </c>
      <c r="Q6" s="28">
        <f t="shared" si="2"/>
        <v>0.2</v>
      </c>
      <c r="R6" s="28">
        <f t="shared" si="3"/>
        <v>0.03</v>
      </c>
      <c r="S6" s="28">
        <f t="shared" si="4"/>
        <v>0.04</v>
      </c>
      <c r="T6" s="28">
        <f t="shared" si="5"/>
        <v>0.45</v>
      </c>
      <c r="U6" s="25"/>
      <c r="V6" s="29">
        <f t="shared" ca="1" si="6"/>
        <v>2.5697283805537971E-3</v>
      </c>
      <c r="W6" s="29">
        <f ca="1">Total!L12</f>
        <v>0.23127555424984175</v>
      </c>
      <c r="X6" s="29"/>
      <c r="Y6" s="10"/>
      <c r="Z6" s="10"/>
      <c r="AB6" s="10"/>
      <c r="AC6" s="10"/>
      <c r="AD6" s="10"/>
      <c r="AG6" s="10"/>
      <c r="AH6" s="10"/>
      <c r="AI6" s="10"/>
      <c r="AK6" s="10"/>
      <c r="AL6" s="10"/>
      <c r="AM6" s="10"/>
      <c r="AP6" s="10"/>
      <c r="AQ6" s="10"/>
      <c r="AR6" s="10"/>
      <c r="AT6" s="10"/>
      <c r="AU6" s="10"/>
      <c r="AV6" s="10"/>
    </row>
    <row r="7" spans="1:48" s="30" customFormat="1" ht="15" customHeight="1" x14ac:dyDescent="0.25">
      <c r="A7" s="14" t="s">
        <v>22</v>
      </c>
      <c r="B7" s="49">
        <v>0.25</v>
      </c>
      <c r="C7" s="49">
        <v>0.3</v>
      </c>
      <c r="D7" s="49">
        <v>0.35</v>
      </c>
      <c r="E7" s="49">
        <v>0.4</v>
      </c>
      <c r="F7" s="49">
        <v>0.45</v>
      </c>
      <c r="G7" s="23">
        <v>2</v>
      </c>
      <c r="H7" s="23">
        <v>1</v>
      </c>
      <c r="I7" s="23">
        <v>5</v>
      </c>
      <c r="J7" s="23">
        <v>4</v>
      </c>
      <c r="K7" s="23">
        <v>3</v>
      </c>
      <c r="L7" s="23">
        <v>5</v>
      </c>
      <c r="M7" s="24"/>
      <c r="N7" s="27">
        <v>6</v>
      </c>
      <c r="O7" s="28">
        <f t="shared" si="0"/>
        <v>0.8</v>
      </c>
      <c r="P7" s="28">
        <f t="shared" si="1"/>
        <v>0.05</v>
      </c>
      <c r="Q7" s="28">
        <f t="shared" si="2"/>
        <v>0.25</v>
      </c>
      <c r="R7" s="28">
        <f t="shared" si="3"/>
        <v>0.04</v>
      </c>
      <c r="S7" s="28">
        <f t="shared" si="4"/>
        <v>0.06</v>
      </c>
      <c r="T7" s="28">
        <f t="shared" si="5"/>
        <v>0.45</v>
      </c>
      <c r="U7" s="25"/>
      <c r="V7" s="29">
        <f t="shared" ca="1" si="6"/>
        <v>2.4630497437749155E-3</v>
      </c>
      <c r="W7" s="29">
        <f ca="1">Total!M12</f>
        <v>0.22167447693974238</v>
      </c>
      <c r="X7" s="32"/>
      <c r="Y7" s="31"/>
      <c r="Z7" s="31"/>
      <c r="AB7" s="31"/>
      <c r="AC7" s="31"/>
      <c r="AD7" s="31"/>
      <c r="AG7" s="31"/>
      <c r="AH7" s="31"/>
      <c r="AI7" s="31"/>
      <c r="AK7" s="31"/>
      <c r="AL7" s="31"/>
      <c r="AM7" s="31"/>
      <c r="AP7" s="31"/>
      <c r="AQ7" s="31"/>
      <c r="AR7" s="31"/>
      <c r="AT7" s="31"/>
      <c r="AU7" s="31"/>
      <c r="AV7" s="31"/>
    </row>
    <row r="8" spans="1:48" s="7" customFormat="1" ht="15.75" x14ac:dyDescent="0.25">
      <c r="A8" s="45"/>
      <c r="B8" s="50"/>
      <c r="C8" s="45"/>
      <c r="D8" s="45"/>
      <c r="E8" s="45"/>
      <c r="F8" s="45"/>
      <c r="G8" s="23">
        <v>2</v>
      </c>
      <c r="H8" s="23">
        <v>2</v>
      </c>
      <c r="I8" s="23">
        <v>2</v>
      </c>
      <c r="J8" s="23">
        <v>2</v>
      </c>
      <c r="K8" s="23">
        <v>2</v>
      </c>
      <c r="L8" s="23">
        <v>1</v>
      </c>
      <c r="M8" s="24"/>
      <c r="N8" s="27">
        <v>7</v>
      </c>
      <c r="O8" s="28">
        <f t="shared" si="0"/>
        <v>0.8</v>
      </c>
      <c r="P8" s="28">
        <f t="shared" si="1"/>
        <v>0.1</v>
      </c>
      <c r="Q8" s="28">
        <f t="shared" si="2"/>
        <v>0.1</v>
      </c>
      <c r="R8" s="28">
        <f t="shared" si="3"/>
        <v>0.02</v>
      </c>
      <c r="S8" s="28">
        <f t="shared" si="4"/>
        <v>0.04</v>
      </c>
      <c r="T8" s="28">
        <f t="shared" si="5"/>
        <v>0.25</v>
      </c>
      <c r="U8" s="25"/>
      <c r="V8" s="29">
        <f t="shared" ca="1" si="6"/>
        <v>2.0333800917023905E-3</v>
      </c>
      <c r="W8" s="29">
        <f ca="1">Total!N12</f>
        <v>0.18300420825321514</v>
      </c>
      <c r="X8" s="29"/>
      <c r="Y8" s="10"/>
      <c r="Z8" s="10"/>
      <c r="AB8" s="10"/>
      <c r="AC8" s="10"/>
      <c r="AD8" s="10"/>
      <c r="AG8" s="10"/>
      <c r="AH8" s="10"/>
      <c r="AI8" s="10"/>
      <c r="AK8" s="10"/>
      <c r="AL8" s="10"/>
      <c r="AM8" s="10"/>
      <c r="AP8" s="10"/>
      <c r="AQ8" s="10"/>
      <c r="AR8" s="10"/>
      <c r="AT8" s="10"/>
      <c r="AU8" s="10"/>
      <c r="AV8" s="10"/>
    </row>
    <row r="9" spans="1:48" s="7" customFormat="1" ht="15.75" x14ac:dyDescent="0.25">
      <c r="A9" s="45"/>
      <c r="B9" s="13"/>
      <c r="C9" s="13"/>
      <c r="D9" s="13"/>
      <c r="E9" s="13"/>
      <c r="F9" s="25"/>
      <c r="G9" s="23">
        <v>2</v>
      </c>
      <c r="H9" s="23">
        <v>3</v>
      </c>
      <c r="I9" s="23">
        <v>4</v>
      </c>
      <c r="J9" s="23">
        <v>5</v>
      </c>
      <c r="K9" s="23">
        <v>1</v>
      </c>
      <c r="L9" s="23">
        <v>2</v>
      </c>
      <c r="M9" s="24"/>
      <c r="N9" s="27">
        <v>8</v>
      </c>
      <c r="O9" s="28">
        <f t="shared" si="0"/>
        <v>0.8</v>
      </c>
      <c r="P9" s="28">
        <f t="shared" si="1"/>
        <v>0.15</v>
      </c>
      <c r="Q9" s="28">
        <f t="shared" si="2"/>
        <v>0.2</v>
      </c>
      <c r="R9" s="28">
        <f t="shared" si="3"/>
        <v>0.05</v>
      </c>
      <c r="S9" s="28">
        <f t="shared" si="4"/>
        <v>0.02</v>
      </c>
      <c r="T9" s="28">
        <f t="shared" si="5"/>
        <v>0.3</v>
      </c>
      <c r="U9" s="25"/>
      <c r="V9" s="29">
        <f t="shared" ca="1" si="6"/>
        <v>2.1068910124832463E-3</v>
      </c>
      <c r="W9" s="29">
        <f ca="1">Total!O12</f>
        <v>0.18962019112349215</v>
      </c>
      <c r="X9" s="10"/>
      <c r="Y9" s="10"/>
      <c r="Z9" s="10"/>
      <c r="AB9" s="10"/>
      <c r="AC9" s="10"/>
      <c r="AD9" s="10"/>
      <c r="AG9" s="10"/>
      <c r="AH9" s="10"/>
      <c r="AI9" s="10"/>
      <c r="AK9" s="10"/>
      <c r="AL9" s="10"/>
      <c r="AM9" s="10"/>
      <c r="AP9" s="10"/>
      <c r="AQ9" s="10"/>
      <c r="AR9" s="10"/>
      <c r="AT9" s="10"/>
      <c r="AU9" s="10"/>
      <c r="AV9" s="10"/>
    </row>
    <row r="10" spans="1:48" s="7" customFormat="1" ht="15.75" x14ac:dyDescent="0.25">
      <c r="A10" s="17"/>
      <c r="B10" s="25"/>
      <c r="C10" s="25"/>
      <c r="D10" s="25"/>
      <c r="E10" s="25"/>
      <c r="F10" s="25"/>
      <c r="G10" s="23">
        <v>2</v>
      </c>
      <c r="H10" s="23">
        <v>4</v>
      </c>
      <c r="I10" s="23">
        <v>1</v>
      </c>
      <c r="J10" s="23">
        <v>3</v>
      </c>
      <c r="K10" s="23">
        <v>5</v>
      </c>
      <c r="L10" s="23">
        <v>3</v>
      </c>
      <c r="M10" s="24"/>
      <c r="N10" s="27">
        <v>9</v>
      </c>
      <c r="O10" s="28">
        <f t="shared" si="0"/>
        <v>0.8</v>
      </c>
      <c r="P10" s="28">
        <f t="shared" si="1"/>
        <v>0.2</v>
      </c>
      <c r="Q10" s="28">
        <f t="shared" si="2"/>
        <v>0.05</v>
      </c>
      <c r="R10" s="28">
        <f t="shared" si="3"/>
        <v>0.03</v>
      </c>
      <c r="S10" s="28">
        <f t="shared" si="4"/>
        <v>0.1</v>
      </c>
      <c r="T10" s="28">
        <f t="shared" si="5"/>
        <v>0.35</v>
      </c>
      <c r="U10" s="25"/>
      <c r="V10" s="29">
        <f t="shared" ca="1" si="6"/>
        <v>2.1831345658138092E-3</v>
      </c>
      <c r="W10" s="29">
        <f ca="1">Total!P12</f>
        <v>0.19648211092324283</v>
      </c>
      <c r="X10" s="10"/>
      <c r="Y10" s="10"/>
      <c r="Z10" s="10"/>
      <c r="AB10" s="10"/>
      <c r="AC10" s="10"/>
      <c r="AD10" s="10"/>
      <c r="AG10" s="10"/>
      <c r="AH10" s="10"/>
      <c r="AI10" s="10"/>
      <c r="AK10" s="10"/>
      <c r="AL10" s="10"/>
      <c r="AM10" s="10"/>
      <c r="AP10" s="10"/>
      <c r="AQ10" s="10"/>
      <c r="AR10" s="10"/>
      <c r="AT10" s="10"/>
      <c r="AU10" s="10"/>
      <c r="AV10" s="10"/>
    </row>
    <row r="11" spans="1:48" s="25" customFormat="1" ht="15.75" x14ac:dyDescent="0.25">
      <c r="G11" s="23">
        <v>2</v>
      </c>
      <c r="H11" s="23">
        <v>5</v>
      </c>
      <c r="I11" s="23">
        <v>3</v>
      </c>
      <c r="J11" s="23">
        <v>1</v>
      </c>
      <c r="K11" s="23">
        <v>4</v>
      </c>
      <c r="L11" s="23">
        <v>4</v>
      </c>
      <c r="M11" s="59"/>
      <c r="N11" s="27">
        <v>10</v>
      </c>
      <c r="O11" s="28">
        <f t="shared" si="0"/>
        <v>0.8</v>
      </c>
      <c r="P11" s="28">
        <f t="shared" si="1"/>
        <v>0.25</v>
      </c>
      <c r="Q11" s="28">
        <f t="shared" si="2"/>
        <v>0.15</v>
      </c>
      <c r="R11" s="28">
        <f t="shared" si="3"/>
        <v>0.01</v>
      </c>
      <c r="S11" s="28">
        <f t="shared" si="4"/>
        <v>0.08</v>
      </c>
      <c r="T11" s="28">
        <f t="shared" si="5"/>
        <v>0.4</v>
      </c>
      <c r="V11" s="29">
        <f t="shared" ca="1" si="6"/>
        <v>2.1899792565687874E-3</v>
      </c>
      <c r="W11" s="29">
        <f ca="1">Total!Q12</f>
        <v>0.19709813309119087</v>
      </c>
      <c r="X11" s="29"/>
      <c r="Y11" s="29"/>
      <c r="Z11" s="29"/>
      <c r="AB11" s="29"/>
      <c r="AC11" s="29"/>
      <c r="AD11" s="29"/>
      <c r="AG11" s="29"/>
      <c r="AH11" s="29"/>
      <c r="AI11" s="29"/>
      <c r="AK11" s="29"/>
      <c r="AL11" s="29"/>
      <c r="AM11" s="29"/>
      <c r="AP11" s="29"/>
      <c r="AQ11" s="29"/>
      <c r="AR11" s="29"/>
      <c r="AT11" s="29"/>
      <c r="AU11" s="29"/>
      <c r="AV11" s="29"/>
    </row>
    <row r="12" spans="1:48" s="25" customFormat="1" ht="15.75" x14ac:dyDescent="0.25">
      <c r="G12" s="23">
        <v>3</v>
      </c>
      <c r="H12" s="23">
        <v>1</v>
      </c>
      <c r="I12" s="23">
        <v>4</v>
      </c>
      <c r="J12" s="23">
        <v>2</v>
      </c>
      <c r="K12" s="23">
        <v>5</v>
      </c>
      <c r="L12" s="23">
        <v>4</v>
      </c>
      <c r="M12" s="59"/>
      <c r="N12" s="27">
        <v>11</v>
      </c>
      <c r="O12" s="28">
        <f t="shared" si="0"/>
        <v>1</v>
      </c>
      <c r="P12" s="28">
        <f t="shared" si="1"/>
        <v>0.05</v>
      </c>
      <c r="Q12" s="28">
        <f t="shared" si="2"/>
        <v>0.2</v>
      </c>
      <c r="R12" s="28">
        <f t="shared" si="3"/>
        <v>0.02</v>
      </c>
      <c r="S12" s="28">
        <f t="shared" si="4"/>
        <v>0.1</v>
      </c>
      <c r="T12" s="28">
        <f t="shared" si="5"/>
        <v>0.4</v>
      </c>
      <c r="V12" s="29">
        <f t="shared" ca="1" si="6"/>
        <v>2.5414921009824986E-3</v>
      </c>
      <c r="W12" s="29">
        <f ca="1">Total!R12</f>
        <v>0.22873428908842486</v>
      </c>
      <c r="X12" s="29"/>
      <c r="Y12" s="29"/>
      <c r="Z12" s="29"/>
      <c r="AB12" s="29"/>
      <c r="AC12" s="29"/>
      <c r="AD12" s="29"/>
      <c r="AG12" s="29"/>
      <c r="AH12" s="29"/>
      <c r="AI12" s="29"/>
      <c r="AK12" s="29"/>
      <c r="AL12" s="29"/>
      <c r="AM12" s="29"/>
      <c r="AP12" s="29"/>
      <c r="AQ12" s="29"/>
      <c r="AR12" s="29"/>
      <c r="AT12" s="29"/>
      <c r="AU12" s="29"/>
      <c r="AV12" s="29"/>
    </row>
    <row r="13" spans="1:48" s="25" customFormat="1" ht="15.75" x14ac:dyDescent="0.25">
      <c r="G13" s="23">
        <v>3</v>
      </c>
      <c r="H13" s="23">
        <v>2</v>
      </c>
      <c r="I13" s="23">
        <v>1</v>
      </c>
      <c r="J13" s="23">
        <v>5</v>
      </c>
      <c r="K13" s="23">
        <v>4</v>
      </c>
      <c r="L13" s="23">
        <v>5</v>
      </c>
      <c r="M13" s="59"/>
      <c r="N13" s="27">
        <v>12</v>
      </c>
      <c r="O13" s="28">
        <f t="shared" si="0"/>
        <v>1</v>
      </c>
      <c r="P13" s="28">
        <f t="shared" si="1"/>
        <v>0.1</v>
      </c>
      <c r="Q13" s="28">
        <f t="shared" si="2"/>
        <v>0.05</v>
      </c>
      <c r="R13" s="28">
        <f t="shared" si="3"/>
        <v>0.05</v>
      </c>
      <c r="S13" s="28">
        <f t="shared" si="4"/>
        <v>0.08</v>
      </c>
      <c r="T13" s="28">
        <f t="shared" si="5"/>
        <v>0.45</v>
      </c>
      <c r="V13" s="29">
        <f t="shared" ca="1" si="6"/>
        <v>2.6227642194181378E-3</v>
      </c>
      <c r="W13" s="29">
        <f ca="1">Total!S12</f>
        <v>0.23604877974763239</v>
      </c>
      <c r="X13" s="29"/>
      <c r="Y13" s="29"/>
      <c r="Z13" s="29"/>
      <c r="AB13" s="29"/>
      <c r="AC13" s="29"/>
      <c r="AD13" s="29"/>
      <c r="AG13" s="29"/>
      <c r="AH13" s="29"/>
      <c r="AI13" s="29"/>
      <c r="AK13" s="29"/>
      <c r="AL13" s="29"/>
      <c r="AM13" s="29"/>
      <c r="AP13" s="29"/>
      <c r="AQ13" s="29"/>
      <c r="AR13" s="29"/>
      <c r="AT13" s="29"/>
      <c r="AU13" s="29"/>
      <c r="AV13" s="29"/>
    </row>
    <row r="14" spans="1:48" s="25" customFormat="1" ht="15.75" x14ac:dyDescent="0.25">
      <c r="G14" s="23">
        <v>3</v>
      </c>
      <c r="H14" s="23">
        <v>3</v>
      </c>
      <c r="I14" s="23">
        <v>3</v>
      </c>
      <c r="J14" s="23">
        <v>3</v>
      </c>
      <c r="K14" s="23">
        <v>3</v>
      </c>
      <c r="L14" s="23">
        <v>1</v>
      </c>
      <c r="M14" s="59"/>
      <c r="N14" s="27">
        <v>13</v>
      </c>
      <c r="O14" s="28">
        <f t="shared" si="0"/>
        <v>1</v>
      </c>
      <c r="P14" s="28">
        <f t="shared" si="1"/>
        <v>0.15</v>
      </c>
      <c r="Q14" s="28">
        <f t="shared" si="2"/>
        <v>0.15</v>
      </c>
      <c r="R14" s="28">
        <f t="shared" si="3"/>
        <v>0.03</v>
      </c>
      <c r="S14" s="28">
        <f t="shared" si="4"/>
        <v>0.06</v>
      </c>
      <c r="T14" s="28">
        <f t="shared" si="5"/>
        <v>0.25</v>
      </c>
      <c r="V14" s="29">
        <f t="shared" ca="1" si="6"/>
        <v>2.105596829208601E-3</v>
      </c>
      <c r="W14" s="29">
        <f ca="1">Total!T12</f>
        <v>0.18950371462877408</v>
      </c>
      <c r="X14" s="29"/>
      <c r="Y14" s="29"/>
      <c r="Z14" s="29"/>
      <c r="AB14" s="29"/>
      <c r="AC14" s="29"/>
      <c r="AD14" s="29"/>
      <c r="AG14" s="29"/>
      <c r="AH14" s="29"/>
      <c r="AI14" s="29"/>
      <c r="AK14" s="29"/>
      <c r="AL14" s="29"/>
      <c r="AM14" s="29"/>
      <c r="AP14" s="29"/>
      <c r="AQ14" s="29"/>
      <c r="AR14" s="29"/>
      <c r="AT14" s="29"/>
      <c r="AU14" s="29"/>
      <c r="AV14" s="29"/>
    </row>
    <row r="15" spans="1:48" s="25" customFormat="1" ht="15.75" x14ac:dyDescent="0.25">
      <c r="G15" s="23">
        <v>3</v>
      </c>
      <c r="H15" s="23">
        <v>4</v>
      </c>
      <c r="I15" s="23">
        <v>5</v>
      </c>
      <c r="J15" s="23">
        <v>1</v>
      </c>
      <c r="K15" s="23">
        <v>2</v>
      </c>
      <c r="L15" s="23">
        <v>2</v>
      </c>
      <c r="M15" s="59"/>
      <c r="N15" s="27">
        <v>14</v>
      </c>
      <c r="O15" s="28">
        <f t="shared" si="0"/>
        <v>1</v>
      </c>
      <c r="P15" s="28">
        <f t="shared" si="1"/>
        <v>0.2</v>
      </c>
      <c r="Q15" s="28">
        <f t="shared" si="2"/>
        <v>0.25</v>
      </c>
      <c r="R15" s="28">
        <f t="shared" si="3"/>
        <v>0.01</v>
      </c>
      <c r="S15" s="28">
        <f t="shared" si="4"/>
        <v>0.04</v>
      </c>
      <c r="T15" s="28">
        <f t="shared" si="5"/>
        <v>0.3</v>
      </c>
      <c r="V15" s="29">
        <f t="shared" ca="1" si="6"/>
        <v>2.4881802864301465E-3</v>
      </c>
      <c r="W15" s="29">
        <f ca="1">Total!U12</f>
        <v>0.22393622577871319</v>
      </c>
      <c r="X15" s="60"/>
      <c r="Y15" s="29"/>
      <c r="Z15" s="29"/>
      <c r="AB15" s="29"/>
      <c r="AC15" s="29"/>
      <c r="AD15" s="29"/>
      <c r="AG15" s="29"/>
      <c r="AH15" s="29"/>
      <c r="AI15" s="29"/>
      <c r="AK15" s="29"/>
      <c r="AL15" s="29"/>
      <c r="AM15" s="29"/>
      <c r="AP15" s="29"/>
      <c r="AQ15" s="29"/>
      <c r="AR15" s="29"/>
      <c r="AT15" s="29"/>
      <c r="AU15" s="29"/>
      <c r="AV15" s="29"/>
    </row>
    <row r="16" spans="1:48" s="25" customFormat="1" ht="15.75" x14ac:dyDescent="0.25">
      <c r="A16" s="51"/>
      <c r="B16" s="51"/>
      <c r="C16" s="51"/>
      <c r="D16" s="51"/>
      <c r="E16" s="51"/>
      <c r="G16" s="23">
        <v>3</v>
      </c>
      <c r="H16" s="23">
        <v>5</v>
      </c>
      <c r="I16" s="23">
        <v>2</v>
      </c>
      <c r="J16" s="23">
        <v>4</v>
      </c>
      <c r="K16" s="23">
        <v>1</v>
      </c>
      <c r="L16" s="23">
        <v>3</v>
      </c>
      <c r="M16" s="59"/>
      <c r="N16" s="27">
        <v>15</v>
      </c>
      <c r="O16" s="28">
        <f t="shared" si="0"/>
        <v>1</v>
      </c>
      <c r="P16" s="28">
        <f t="shared" si="1"/>
        <v>0.25</v>
      </c>
      <c r="Q16" s="28">
        <f t="shared" si="2"/>
        <v>0.1</v>
      </c>
      <c r="R16" s="28">
        <f t="shared" si="3"/>
        <v>0.04</v>
      </c>
      <c r="S16" s="28">
        <f t="shared" si="4"/>
        <v>0.02</v>
      </c>
      <c r="T16" s="28">
        <f t="shared" si="5"/>
        <v>0.35</v>
      </c>
      <c r="V16" s="29">
        <f t="shared" ca="1" si="6"/>
        <v>2.0280607902782122E-3</v>
      </c>
      <c r="W16" s="29">
        <f ca="1">Total!V12</f>
        <v>0.18252547112503908</v>
      </c>
      <c r="X16" s="29"/>
      <c r="Y16" s="29"/>
      <c r="Z16" s="29"/>
      <c r="AB16" s="29"/>
      <c r="AC16" s="29"/>
      <c r="AD16" s="29"/>
      <c r="AG16" s="29"/>
      <c r="AH16" s="29"/>
      <c r="AI16" s="29"/>
      <c r="AK16" s="29"/>
      <c r="AL16" s="29"/>
      <c r="AM16" s="29"/>
      <c r="AP16" s="29"/>
      <c r="AQ16" s="29"/>
      <c r="AR16" s="29"/>
      <c r="AT16" s="29"/>
      <c r="AU16" s="29"/>
      <c r="AV16" s="29"/>
    </row>
    <row r="17" spans="1:48" s="25" customFormat="1" ht="15.75" x14ac:dyDescent="0.25">
      <c r="A17" s="38"/>
      <c r="B17" s="38"/>
      <c r="C17" s="38"/>
      <c r="D17" s="38"/>
      <c r="E17" s="38"/>
      <c r="G17" s="23">
        <v>4</v>
      </c>
      <c r="H17" s="23">
        <v>1</v>
      </c>
      <c r="I17" s="23">
        <v>3</v>
      </c>
      <c r="J17" s="23">
        <v>5</v>
      </c>
      <c r="K17" s="23">
        <v>2</v>
      </c>
      <c r="L17" s="23">
        <v>3</v>
      </c>
      <c r="M17" s="59"/>
      <c r="N17" s="27">
        <v>16</v>
      </c>
      <c r="O17" s="28">
        <f t="shared" si="0"/>
        <v>1.2</v>
      </c>
      <c r="P17" s="28">
        <f t="shared" si="1"/>
        <v>0.05</v>
      </c>
      <c r="Q17" s="28">
        <f t="shared" si="2"/>
        <v>0.15</v>
      </c>
      <c r="R17" s="28">
        <f t="shared" si="3"/>
        <v>0.05</v>
      </c>
      <c r="S17" s="28">
        <f t="shared" si="4"/>
        <v>0.04</v>
      </c>
      <c r="T17" s="28">
        <f t="shared" si="5"/>
        <v>0.35</v>
      </c>
      <c r="V17" s="29">
        <f t="shared" ca="1" si="6"/>
        <v>3.1048994451234047E-3</v>
      </c>
      <c r="W17" s="29">
        <f ca="1">Total!W12</f>
        <v>0.27944095006110642</v>
      </c>
      <c r="X17" s="29"/>
      <c r="Y17" s="29"/>
      <c r="Z17" s="29"/>
      <c r="AB17" s="29"/>
      <c r="AC17" s="29"/>
      <c r="AD17" s="29"/>
      <c r="AG17" s="29"/>
      <c r="AH17" s="29"/>
      <c r="AI17" s="29"/>
      <c r="AK17" s="29"/>
      <c r="AL17" s="29"/>
      <c r="AM17" s="29"/>
      <c r="AP17" s="29"/>
      <c r="AQ17" s="29"/>
      <c r="AR17" s="29"/>
      <c r="AT17" s="29"/>
      <c r="AU17" s="29"/>
      <c r="AV17" s="29"/>
    </row>
    <row r="18" spans="1:48" s="25" customFormat="1" ht="15.75" x14ac:dyDescent="0.25">
      <c r="A18" s="38"/>
      <c r="B18" s="38"/>
      <c r="C18" s="38"/>
      <c r="D18" s="38"/>
      <c r="E18" s="38"/>
      <c r="G18" s="23">
        <v>4</v>
      </c>
      <c r="H18" s="23">
        <v>2</v>
      </c>
      <c r="I18" s="23">
        <v>5</v>
      </c>
      <c r="J18" s="23">
        <v>3</v>
      </c>
      <c r="K18" s="23">
        <v>1</v>
      </c>
      <c r="L18" s="23">
        <v>4</v>
      </c>
      <c r="M18" s="59"/>
      <c r="N18" s="27">
        <v>17</v>
      </c>
      <c r="O18" s="28">
        <f t="shared" si="0"/>
        <v>1.2</v>
      </c>
      <c r="P18" s="28">
        <f t="shared" si="1"/>
        <v>0.1</v>
      </c>
      <c r="Q18" s="28">
        <f t="shared" si="2"/>
        <v>0.25</v>
      </c>
      <c r="R18" s="28">
        <f t="shared" si="3"/>
        <v>0.03</v>
      </c>
      <c r="S18" s="28">
        <f t="shared" si="4"/>
        <v>0.02</v>
      </c>
      <c r="T18" s="28">
        <f t="shared" si="5"/>
        <v>0.4</v>
      </c>
      <c r="V18" s="29">
        <f t="shared" ca="1" si="6"/>
        <v>2.2851257397374972E-3</v>
      </c>
      <c r="W18" s="29">
        <f ca="1">Total!X12</f>
        <v>0.20566131657637476</v>
      </c>
      <c r="X18" s="60"/>
      <c r="Y18" s="29"/>
      <c r="Z18" s="29"/>
      <c r="AB18" s="29"/>
      <c r="AC18" s="29"/>
      <c r="AD18" s="29"/>
      <c r="AG18" s="29"/>
      <c r="AH18" s="29"/>
      <c r="AI18" s="29"/>
      <c r="AK18" s="29"/>
      <c r="AL18" s="29"/>
      <c r="AM18" s="29"/>
      <c r="AP18" s="29"/>
      <c r="AQ18" s="29"/>
      <c r="AR18" s="29"/>
      <c r="AT18" s="29"/>
      <c r="AU18" s="29"/>
      <c r="AV18" s="29"/>
    </row>
    <row r="19" spans="1:48" s="25" customFormat="1" ht="15.75" x14ac:dyDescent="0.25">
      <c r="A19" s="38"/>
      <c r="B19" s="38"/>
      <c r="C19" s="38"/>
      <c r="D19" s="38"/>
      <c r="E19" s="38"/>
      <c r="G19" s="23">
        <v>4</v>
      </c>
      <c r="H19" s="23">
        <v>3</v>
      </c>
      <c r="I19" s="23">
        <v>2</v>
      </c>
      <c r="J19" s="23">
        <v>1</v>
      </c>
      <c r="K19" s="23">
        <v>5</v>
      </c>
      <c r="L19" s="23">
        <v>5</v>
      </c>
      <c r="M19" s="59"/>
      <c r="N19" s="27">
        <v>18</v>
      </c>
      <c r="O19" s="28">
        <f t="shared" si="0"/>
        <v>1.2</v>
      </c>
      <c r="P19" s="28">
        <f t="shared" si="1"/>
        <v>0.15</v>
      </c>
      <c r="Q19" s="28">
        <f t="shared" si="2"/>
        <v>0.1</v>
      </c>
      <c r="R19" s="28">
        <f t="shared" si="3"/>
        <v>0.01</v>
      </c>
      <c r="S19" s="28">
        <f t="shared" si="4"/>
        <v>0.1</v>
      </c>
      <c r="T19" s="28">
        <f t="shared" si="5"/>
        <v>0.45</v>
      </c>
      <c r="V19" s="29">
        <f t="shared" ca="1" si="6"/>
        <v>1.8578810906729557E-3</v>
      </c>
      <c r="W19" s="29">
        <f ca="1">Total!Y12</f>
        <v>0.16720929816056601</v>
      </c>
      <c r="X19" s="29"/>
      <c r="Y19" s="29"/>
      <c r="Z19" s="29"/>
      <c r="AB19" s="29"/>
      <c r="AC19" s="29"/>
      <c r="AD19" s="29"/>
      <c r="AG19" s="29"/>
      <c r="AH19" s="29"/>
      <c r="AI19" s="29"/>
      <c r="AK19" s="29"/>
      <c r="AL19" s="29"/>
      <c r="AM19" s="29"/>
      <c r="AP19" s="29"/>
      <c r="AQ19" s="29"/>
      <c r="AR19" s="29"/>
      <c r="AT19" s="29"/>
      <c r="AU19" s="29"/>
      <c r="AV19" s="29"/>
    </row>
    <row r="20" spans="1:48" s="7" customFormat="1" ht="15.75" x14ac:dyDescent="0.25">
      <c r="A20" s="38"/>
      <c r="B20" s="38"/>
      <c r="C20" s="38"/>
      <c r="D20" s="38"/>
      <c r="E20" s="38"/>
      <c r="F20" s="25"/>
      <c r="G20" s="23">
        <v>4</v>
      </c>
      <c r="H20" s="23">
        <v>4</v>
      </c>
      <c r="I20" s="23">
        <v>4</v>
      </c>
      <c r="J20" s="23">
        <v>4</v>
      </c>
      <c r="K20" s="23">
        <v>4</v>
      </c>
      <c r="L20" s="23">
        <v>1</v>
      </c>
      <c r="M20" s="24"/>
      <c r="N20" s="27">
        <v>19</v>
      </c>
      <c r="O20" s="28">
        <f t="shared" si="0"/>
        <v>1.2</v>
      </c>
      <c r="P20" s="28">
        <f t="shared" si="1"/>
        <v>0.2</v>
      </c>
      <c r="Q20" s="28">
        <f t="shared" si="2"/>
        <v>0.2</v>
      </c>
      <c r="R20" s="28">
        <f t="shared" si="3"/>
        <v>0.04</v>
      </c>
      <c r="S20" s="28">
        <f t="shared" si="4"/>
        <v>0.08</v>
      </c>
      <c r="T20" s="28">
        <f t="shared" si="5"/>
        <v>0.25</v>
      </c>
      <c r="U20" s="25"/>
      <c r="V20" s="29">
        <f t="shared" ca="1" si="6"/>
        <v>2.3538416736593893E-3</v>
      </c>
      <c r="W20" s="29">
        <f ca="1">Total!Z12</f>
        <v>0.21184575062934502</v>
      </c>
      <c r="X20" s="10"/>
      <c r="Y20" s="10"/>
      <c r="Z20" s="10"/>
      <c r="AB20" s="10"/>
      <c r="AC20" s="10"/>
      <c r="AD20" s="10"/>
      <c r="AG20" s="10"/>
      <c r="AH20" s="10"/>
      <c r="AI20" s="10"/>
      <c r="AK20" s="10"/>
      <c r="AL20" s="10"/>
      <c r="AM20" s="10"/>
      <c r="AP20" s="10"/>
      <c r="AQ20" s="10"/>
      <c r="AR20" s="10"/>
      <c r="AT20" s="10"/>
      <c r="AU20" s="10"/>
      <c r="AV20" s="10"/>
    </row>
    <row r="21" spans="1:48" s="7" customFormat="1" ht="15.75" x14ac:dyDescent="0.25">
      <c r="A21" s="38"/>
      <c r="B21" s="38"/>
      <c r="C21" s="38"/>
      <c r="D21" s="38"/>
      <c r="E21" s="38"/>
      <c r="F21" s="25"/>
      <c r="G21" s="23">
        <v>4</v>
      </c>
      <c r="H21" s="23">
        <v>5</v>
      </c>
      <c r="I21" s="23">
        <v>1</v>
      </c>
      <c r="J21" s="23">
        <v>2</v>
      </c>
      <c r="K21" s="23">
        <v>3</v>
      </c>
      <c r="L21" s="23">
        <v>2</v>
      </c>
      <c r="M21" s="24"/>
      <c r="N21" s="27">
        <v>20</v>
      </c>
      <c r="O21" s="28">
        <f t="shared" si="0"/>
        <v>1.2</v>
      </c>
      <c r="P21" s="28">
        <f t="shared" si="1"/>
        <v>0.25</v>
      </c>
      <c r="Q21" s="28">
        <f t="shared" si="2"/>
        <v>0.05</v>
      </c>
      <c r="R21" s="28">
        <f t="shared" si="3"/>
        <v>0.02</v>
      </c>
      <c r="S21" s="28">
        <f t="shared" si="4"/>
        <v>0.06</v>
      </c>
      <c r="T21" s="28">
        <f t="shared" si="5"/>
        <v>0.3</v>
      </c>
      <c r="U21" s="25"/>
      <c r="V21" s="29">
        <f t="shared" ca="1" si="6"/>
        <v>2.2510392681246733E-3</v>
      </c>
      <c r="W21" s="29">
        <f ca="1">Total!AA12</f>
        <v>0.20259353413122058</v>
      </c>
      <c r="X21" s="10"/>
      <c r="Y21" s="10"/>
      <c r="Z21" s="10"/>
      <c r="AB21" s="10"/>
      <c r="AC21" s="10"/>
      <c r="AD21" s="10"/>
      <c r="AG21" s="10"/>
      <c r="AH21" s="10"/>
      <c r="AI21" s="10"/>
      <c r="AK21" s="10"/>
      <c r="AL21" s="10"/>
      <c r="AM21" s="10"/>
      <c r="AP21" s="10"/>
      <c r="AQ21" s="10"/>
      <c r="AR21" s="10"/>
      <c r="AT21" s="10"/>
      <c r="AU21" s="10"/>
      <c r="AV21" s="10"/>
    </row>
    <row r="22" spans="1:48" s="7" customFormat="1" ht="15.75" x14ac:dyDescent="0.25">
      <c r="A22" s="38"/>
      <c r="B22" s="38"/>
      <c r="C22" s="38"/>
      <c r="D22" s="38"/>
      <c r="E22" s="38"/>
      <c r="F22" s="25"/>
      <c r="G22" s="23">
        <v>5</v>
      </c>
      <c r="H22" s="23">
        <v>1</v>
      </c>
      <c r="I22" s="23">
        <v>2</v>
      </c>
      <c r="J22" s="23">
        <v>3</v>
      </c>
      <c r="K22" s="23">
        <v>4</v>
      </c>
      <c r="L22" s="23">
        <v>2</v>
      </c>
      <c r="M22" s="24"/>
      <c r="N22" s="27">
        <v>21</v>
      </c>
      <c r="O22" s="28">
        <f t="shared" si="0"/>
        <v>1.4</v>
      </c>
      <c r="P22" s="28">
        <f t="shared" si="1"/>
        <v>0.05</v>
      </c>
      <c r="Q22" s="28">
        <f t="shared" si="2"/>
        <v>0.1</v>
      </c>
      <c r="R22" s="28">
        <f t="shared" si="3"/>
        <v>0.03</v>
      </c>
      <c r="S22" s="28">
        <f t="shared" si="4"/>
        <v>0.08</v>
      </c>
      <c r="T22" s="28">
        <f t="shared" si="5"/>
        <v>0.3</v>
      </c>
      <c r="U22" s="25"/>
      <c r="V22" s="29">
        <f t="shared" ca="1" si="6"/>
        <v>3.2341125792837693E-3</v>
      </c>
      <c r="W22" s="29">
        <f ca="1">Total!AB12</f>
        <v>0.29107013213553923</v>
      </c>
      <c r="X22" s="10"/>
      <c r="Y22" s="10"/>
      <c r="Z22" s="10"/>
      <c r="AB22" s="10"/>
      <c r="AC22" s="10"/>
      <c r="AD22" s="10"/>
      <c r="AG22" s="10"/>
      <c r="AH22" s="10"/>
      <c r="AI22" s="10"/>
      <c r="AK22" s="10"/>
      <c r="AL22" s="10"/>
      <c r="AM22" s="10"/>
      <c r="AP22" s="10"/>
      <c r="AQ22" s="10"/>
      <c r="AR22" s="10"/>
      <c r="AT22" s="10"/>
      <c r="AU22" s="10"/>
      <c r="AV22" s="10"/>
    </row>
    <row r="23" spans="1:48" s="7" customFormat="1" ht="15.75" x14ac:dyDescent="0.25">
      <c r="A23" s="38"/>
      <c r="B23" s="38"/>
      <c r="C23" s="38"/>
      <c r="D23" s="38"/>
      <c r="E23" s="38"/>
      <c r="F23" s="25"/>
      <c r="G23" s="23">
        <v>5</v>
      </c>
      <c r="H23" s="23">
        <v>2</v>
      </c>
      <c r="I23" s="23">
        <v>4</v>
      </c>
      <c r="J23" s="23">
        <v>1</v>
      </c>
      <c r="K23" s="23">
        <v>3</v>
      </c>
      <c r="L23" s="23">
        <v>3</v>
      </c>
      <c r="M23" s="24"/>
      <c r="N23" s="27">
        <v>22</v>
      </c>
      <c r="O23" s="28">
        <f t="shared" si="0"/>
        <v>1.4</v>
      </c>
      <c r="P23" s="28">
        <f t="shared" si="1"/>
        <v>0.1</v>
      </c>
      <c r="Q23" s="28">
        <f t="shared" si="2"/>
        <v>0.2</v>
      </c>
      <c r="R23" s="28">
        <f t="shared" si="3"/>
        <v>0.01</v>
      </c>
      <c r="S23" s="28">
        <f t="shared" si="4"/>
        <v>0.06</v>
      </c>
      <c r="T23" s="28">
        <f t="shared" si="5"/>
        <v>0.35</v>
      </c>
      <c r="U23" s="25"/>
      <c r="V23" s="29">
        <f t="shared" ca="1" si="6"/>
        <v>2.0244359688142912E-3</v>
      </c>
      <c r="W23" s="29">
        <f ca="1">Total!AC12</f>
        <v>0.18219923719328621</v>
      </c>
      <c r="X23" s="10"/>
      <c r="Y23" s="10"/>
      <c r="Z23" s="10"/>
      <c r="AB23" s="10"/>
      <c r="AC23" s="10"/>
      <c r="AD23" s="10"/>
      <c r="AG23" s="10"/>
      <c r="AH23" s="10"/>
      <c r="AI23" s="10"/>
      <c r="AK23" s="10"/>
      <c r="AL23" s="10"/>
      <c r="AM23" s="10"/>
      <c r="AP23" s="10"/>
      <c r="AQ23" s="10"/>
      <c r="AR23" s="10"/>
      <c r="AT23" s="10"/>
      <c r="AU23" s="10"/>
      <c r="AV23" s="10"/>
    </row>
    <row r="24" spans="1:48" s="7" customFormat="1" ht="15.75" x14ac:dyDescent="0.25">
      <c r="A24" s="38"/>
      <c r="B24" s="38"/>
      <c r="C24" s="38"/>
      <c r="D24" s="38"/>
      <c r="E24" s="38"/>
      <c r="F24" s="25"/>
      <c r="G24" s="23">
        <v>5</v>
      </c>
      <c r="H24" s="23">
        <v>3</v>
      </c>
      <c r="I24" s="23">
        <v>1</v>
      </c>
      <c r="J24" s="23">
        <v>4</v>
      </c>
      <c r="K24" s="23">
        <v>2</v>
      </c>
      <c r="L24" s="23">
        <v>4</v>
      </c>
      <c r="M24" s="24"/>
      <c r="N24" s="27">
        <v>23</v>
      </c>
      <c r="O24" s="28">
        <f t="shared" si="0"/>
        <v>1.4</v>
      </c>
      <c r="P24" s="28">
        <f t="shared" si="1"/>
        <v>0.15</v>
      </c>
      <c r="Q24" s="28">
        <f t="shared" si="2"/>
        <v>0.05</v>
      </c>
      <c r="R24" s="28">
        <f t="shared" si="3"/>
        <v>0.04</v>
      </c>
      <c r="S24" s="28">
        <f t="shared" si="4"/>
        <v>0.04</v>
      </c>
      <c r="T24" s="28">
        <f t="shared" si="5"/>
        <v>0.4</v>
      </c>
      <c r="U24" s="25"/>
      <c r="V24" s="29">
        <f t="shared" ca="1" si="6"/>
        <v>2.4268562242103415E-3</v>
      </c>
      <c r="W24" s="29">
        <f ca="1">Total!AD12</f>
        <v>0.21841706017893073</v>
      </c>
      <c r="X24" s="10"/>
      <c r="Y24" s="10"/>
      <c r="Z24" s="10"/>
      <c r="AB24" s="10"/>
      <c r="AC24" s="10"/>
      <c r="AD24" s="10"/>
      <c r="AG24" s="10"/>
      <c r="AH24" s="10"/>
      <c r="AI24" s="10"/>
      <c r="AK24" s="10"/>
      <c r="AL24" s="10"/>
      <c r="AM24" s="10"/>
      <c r="AP24" s="10"/>
      <c r="AQ24" s="10"/>
      <c r="AR24" s="10"/>
      <c r="AT24" s="10"/>
      <c r="AU24" s="10"/>
      <c r="AV24" s="10"/>
    </row>
    <row r="25" spans="1:48" s="7" customFormat="1" ht="15.75" x14ac:dyDescent="0.25">
      <c r="A25" s="38"/>
      <c r="B25" s="38"/>
      <c r="C25" s="38"/>
      <c r="D25" s="38"/>
      <c r="E25" s="38"/>
      <c r="F25" s="25"/>
      <c r="G25" s="23">
        <v>5</v>
      </c>
      <c r="H25" s="23">
        <v>4</v>
      </c>
      <c r="I25" s="23">
        <v>3</v>
      </c>
      <c r="J25" s="23">
        <v>2</v>
      </c>
      <c r="K25" s="23">
        <v>1</v>
      </c>
      <c r="L25" s="23">
        <v>5</v>
      </c>
      <c r="M25" s="24"/>
      <c r="N25" s="27">
        <v>24</v>
      </c>
      <c r="O25" s="28">
        <f t="shared" si="0"/>
        <v>1.4</v>
      </c>
      <c r="P25" s="28">
        <f t="shared" si="1"/>
        <v>0.2</v>
      </c>
      <c r="Q25" s="28">
        <f t="shared" si="2"/>
        <v>0.15</v>
      </c>
      <c r="R25" s="28">
        <f t="shared" si="3"/>
        <v>0.02</v>
      </c>
      <c r="S25" s="28">
        <f t="shared" si="4"/>
        <v>0.02</v>
      </c>
      <c r="T25" s="28">
        <f t="shared" si="5"/>
        <v>0.45</v>
      </c>
      <c r="U25" s="25"/>
      <c r="V25" s="29">
        <f t="shared" ca="1" si="6"/>
        <v>2.1407913770567642E-3</v>
      </c>
      <c r="W25" s="29">
        <f ca="1">Total!AE12</f>
        <v>0.19267122393510877</v>
      </c>
      <c r="X25" s="10"/>
      <c r="Y25" s="10"/>
      <c r="Z25" s="10"/>
      <c r="AB25" s="10"/>
      <c r="AC25" s="10"/>
      <c r="AD25" s="10"/>
      <c r="AG25" s="10"/>
      <c r="AH25" s="10"/>
      <c r="AI25" s="10"/>
      <c r="AK25" s="10"/>
      <c r="AL25" s="10"/>
      <c r="AM25" s="10"/>
      <c r="AP25" s="10"/>
      <c r="AQ25" s="10"/>
      <c r="AR25" s="10"/>
      <c r="AT25" s="10"/>
      <c r="AU25" s="10"/>
      <c r="AV25" s="10"/>
    </row>
    <row r="26" spans="1:48" s="30" customFormat="1" ht="15.75" x14ac:dyDescent="0.25">
      <c r="A26" s="25"/>
      <c r="B26" s="25"/>
      <c r="C26" s="25"/>
      <c r="D26" s="25"/>
      <c r="E26" s="25"/>
      <c r="F26" s="25"/>
      <c r="G26" s="24">
        <v>5</v>
      </c>
      <c r="H26" s="24">
        <v>5</v>
      </c>
      <c r="I26" s="24">
        <v>5</v>
      </c>
      <c r="J26" s="24">
        <v>5</v>
      </c>
      <c r="K26" s="24">
        <v>5</v>
      </c>
      <c r="L26" s="24">
        <v>1</v>
      </c>
      <c r="M26" s="24"/>
      <c r="N26" s="27">
        <v>25</v>
      </c>
      <c r="O26" s="28">
        <f t="shared" si="0"/>
        <v>1.4</v>
      </c>
      <c r="P26" s="28">
        <f t="shared" si="1"/>
        <v>0.25</v>
      </c>
      <c r="Q26" s="28">
        <f t="shared" si="2"/>
        <v>0.25</v>
      </c>
      <c r="R26" s="28">
        <f t="shared" si="3"/>
        <v>0.05</v>
      </c>
      <c r="S26" s="28">
        <f t="shared" si="4"/>
        <v>0.1</v>
      </c>
      <c r="T26" s="28">
        <f t="shared" si="5"/>
        <v>0.25</v>
      </c>
      <c r="U26" s="25"/>
      <c r="V26" s="29">
        <f t="shared" ca="1" si="6"/>
        <v>2.3786219938984683E-3</v>
      </c>
      <c r="W26" s="29">
        <f ca="1">Total!AF12</f>
        <v>0.21407597945086215</v>
      </c>
      <c r="X26" s="32"/>
      <c r="Y26" s="31"/>
      <c r="Z26" s="31"/>
      <c r="AB26" s="31"/>
      <c r="AC26" s="31"/>
      <c r="AD26" s="31"/>
      <c r="AG26" s="31"/>
      <c r="AH26" s="31"/>
      <c r="AI26" s="31"/>
      <c r="AK26" s="31"/>
      <c r="AL26" s="31"/>
      <c r="AM26" s="31"/>
      <c r="AP26" s="31"/>
      <c r="AQ26" s="31"/>
      <c r="AR26" s="31"/>
      <c r="AT26" s="31"/>
      <c r="AU26" s="31"/>
      <c r="AV26" s="31"/>
    </row>
    <row r="27" spans="1:48" s="12" customFormat="1" ht="21" customHeight="1" x14ac:dyDescent="0.25">
      <c r="A27" s="24"/>
      <c r="B27" s="24"/>
      <c r="C27" s="24"/>
      <c r="D27" s="24"/>
      <c r="E27" s="24"/>
      <c r="F27" s="52" t="s">
        <v>5</v>
      </c>
      <c r="G27" s="14" t="s">
        <v>15</v>
      </c>
      <c r="H27" s="14" t="s">
        <v>18</v>
      </c>
      <c r="I27" s="52" t="s">
        <v>19</v>
      </c>
      <c r="J27" s="14" t="s">
        <v>20</v>
      </c>
      <c r="K27" s="14" t="s">
        <v>21</v>
      </c>
      <c r="L27" s="14" t="s">
        <v>23</v>
      </c>
      <c r="M27" s="23"/>
      <c r="N27" s="13"/>
      <c r="O27" s="33"/>
      <c r="P27" s="33"/>
      <c r="Q27" s="33"/>
      <c r="R27" s="33"/>
      <c r="S27" s="33"/>
      <c r="T27" s="35"/>
      <c r="U27" s="35"/>
      <c r="V27" s="35"/>
      <c r="W27" s="13"/>
      <c r="X27" s="19"/>
      <c r="Y27" s="18"/>
      <c r="AB27" s="20"/>
    </row>
    <row r="28" spans="1:48" s="7" customFormat="1" x14ac:dyDescent="0.25">
      <c r="A28" s="38"/>
      <c r="B28" s="38"/>
      <c r="C28" s="38"/>
      <c r="D28" s="38"/>
      <c r="E28" s="38"/>
      <c r="F28" s="25">
        <v>1</v>
      </c>
      <c r="G28" s="36">
        <f t="shared" ref="G28:L28" ca="1" si="7">AVERAGEIF(G2:G26,1,$V$2:$V$26)</f>
        <v>2.3007907731645068E-3</v>
      </c>
      <c r="H28" s="36">
        <f t="shared" ca="1" si="7"/>
        <v>2.7866396830949669E-3</v>
      </c>
      <c r="I28" s="36">
        <f t="shared" ca="1" si="7"/>
        <v>2.4146877647754418E-3</v>
      </c>
      <c r="J28" s="36">
        <f t="shared" ca="1" si="7"/>
        <v>2.2300242297592855E-3</v>
      </c>
      <c r="K28" s="36">
        <f t="shared" ca="1" si="7"/>
        <v>2.2301026931731932E-3</v>
      </c>
      <c r="L28" s="36">
        <f t="shared" ca="1" si="7"/>
        <v>2.2922170269558191E-3</v>
      </c>
      <c r="M28" s="37"/>
      <c r="N28" s="38"/>
      <c r="O28" s="26"/>
      <c r="P28" s="25"/>
      <c r="Q28" s="25"/>
      <c r="R28" s="25"/>
      <c r="S28" s="25"/>
      <c r="T28" s="39"/>
      <c r="U28" s="40"/>
      <c r="V28" s="40"/>
      <c r="W28" s="41"/>
      <c r="X28" s="21"/>
      <c r="Y28" s="11"/>
      <c r="AB28" s="10"/>
    </row>
    <row r="29" spans="1:48" s="7" customFormat="1" x14ac:dyDescent="0.25">
      <c r="A29" s="38"/>
      <c r="B29" s="38"/>
      <c r="C29" s="38"/>
      <c r="D29" s="38"/>
      <c r="E29" s="38"/>
      <c r="F29" s="25">
        <v>2</v>
      </c>
      <c r="G29" s="36">
        <f t="shared" ref="G29:L29" ca="1" si="8">AVERAGEIF(G2:G26,2,$V$2:$V$26)</f>
        <v>2.1952869340686296E-3</v>
      </c>
      <c r="H29" s="36">
        <f t="shared" ca="1" si="8"/>
        <v>2.214438387793569E-3</v>
      </c>
      <c r="I29" s="36">
        <f t="shared" ca="1" si="8"/>
        <v>2.2562332855859684E-3</v>
      </c>
      <c r="J29" s="36">
        <f t="shared" ca="1" si="8"/>
        <v>2.2154131963073543E-3</v>
      </c>
      <c r="K29" s="36">
        <f t="shared" ca="1" si="8"/>
        <v>2.5246088856040157E-3</v>
      </c>
      <c r="L29" s="36">
        <f t="shared" ca="1" si="8"/>
        <v>2.4373418131234731E-3</v>
      </c>
      <c r="M29" s="37"/>
      <c r="N29" s="42"/>
      <c r="O29" s="25"/>
      <c r="P29" s="25"/>
      <c r="Q29" s="25"/>
      <c r="R29" s="25"/>
      <c r="S29" s="25"/>
      <c r="T29" s="39"/>
      <c r="U29" s="40"/>
      <c r="V29" s="40"/>
      <c r="W29" s="41"/>
      <c r="X29" s="21"/>
      <c r="Y29" s="11"/>
      <c r="AB29" s="10"/>
    </row>
    <row r="30" spans="1:48" s="7" customFormat="1" x14ac:dyDescent="0.25">
      <c r="A30" s="38"/>
      <c r="B30" s="38"/>
      <c r="C30" s="38"/>
      <c r="D30" s="38"/>
      <c r="E30" s="38"/>
      <c r="F30" s="25">
        <v>3</v>
      </c>
      <c r="G30" s="36">
        <f t="shared" ref="G30:L30" ca="1" si="9">AVERAGEIF(G2:G26,3,$V$2:$V$26)</f>
        <v>2.3572188452635192E-3</v>
      </c>
      <c r="H30" s="36">
        <f t="shared" ca="1" si="9"/>
        <v>2.1215176600491185E-3</v>
      </c>
      <c r="I30" s="36">
        <f t="shared" ca="1" si="9"/>
        <v>2.329550565450617E-3</v>
      </c>
      <c r="J30" s="36">
        <f t="shared" ca="1" si="9"/>
        <v>2.4755396189194948E-3</v>
      </c>
      <c r="K30" s="36">
        <f t="shared" ca="1" si="9"/>
        <v>2.1943707371829988E-3</v>
      </c>
      <c r="L30" s="36">
        <f t="shared" ca="1" si="9"/>
        <v>2.2901787827400329E-3</v>
      </c>
      <c r="M30" s="37"/>
      <c r="N30" s="42"/>
      <c r="O30" s="25"/>
      <c r="P30" s="25"/>
      <c r="Q30" s="25"/>
      <c r="R30" s="25"/>
      <c r="S30" s="25"/>
      <c r="T30" s="39"/>
      <c r="U30" s="39"/>
      <c r="V30" s="39"/>
      <c r="W30" s="39"/>
      <c r="X30" s="21"/>
      <c r="Y30" s="11"/>
      <c r="AB30" s="10"/>
    </row>
    <row r="31" spans="1:48" s="7" customFormat="1" x14ac:dyDescent="0.25">
      <c r="A31" s="38"/>
      <c r="B31" s="38"/>
      <c r="C31" s="38"/>
      <c r="D31" s="38"/>
      <c r="E31" s="38"/>
      <c r="F31" s="25">
        <v>4</v>
      </c>
      <c r="G31" s="36">
        <f t="shared" ref="G31:L31" ca="1" si="10">AVERAGEIF(G2:G26,4,$V$2:$V$26)</f>
        <v>2.3705574434635841E-3</v>
      </c>
      <c r="H31" s="36">
        <f t="shared" ca="1" si="10"/>
        <v>2.2587359557905244E-3</v>
      </c>
      <c r="I31" s="36">
        <f t="shared" ca="1" si="10"/>
        <v>2.3192778272986443E-3</v>
      </c>
      <c r="J31" s="36">
        <f t="shared" ca="1" si="10"/>
        <v>2.2756588702436773E-3</v>
      </c>
      <c r="K31" s="36">
        <f t="shared" ca="1" si="10"/>
        <v>2.502212174520106E-3</v>
      </c>
      <c r="L31" s="36">
        <f t="shared" ca="1" si="10"/>
        <v>2.3142370394983276E-3</v>
      </c>
      <c r="M31" s="37"/>
      <c r="N31" s="42"/>
      <c r="O31" s="25"/>
      <c r="P31" s="25"/>
      <c r="Q31" s="25"/>
      <c r="R31" s="25"/>
      <c r="S31" s="25"/>
      <c r="T31" s="39"/>
      <c r="U31" s="39"/>
      <c r="V31" s="39"/>
      <c r="W31" s="39"/>
      <c r="X31" s="21"/>
      <c r="Y31" s="11"/>
      <c r="AB31" s="10"/>
    </row>
    <row r="32" spans="1:48" s="7" customFormat="1" x14ac:dyDescent="0.25">
      <c r="A32" s="38"/>
      <c r="B32" s="38"/>
      <c r="C32" s="38"/>
      <c r="D32" s="38"/>
      <c r="E32" s="38"/>
      <c r="F32" s="25">
        <v>5</v>
      </c>
      <c r="G32" s="36">
        <f t="shared" ref="G32:L32" ca="1" si="11">AVERAGEIF(G2:G26,5,$V$2:$V$26)</f>
        <v>2.4409636286527267E-3</v>
      </c>
      <c r="H32" s="36">
        <f t="shared" ca="1" si="11"/>
        <v>2.2834859378847877E-3</v>
      </c>
      <c r="I32" s="36">
        <f t="shared" ca="1" si="11"/>
        <v>2.345068181502295E-3</v>
      </c>
      <c r="J32" s="36">
        <f t="shared" ca="1" si="11"/>
        <v>2.4681817093831541E-3</v>
      </c>
      <c r="K32" s="36">
        <f t="shared" ca="1" si="11"/>
        <v>2.2135231341326523E-3</v>
      </c>
      <c r="L32" s="36">
        <f t="shared" ca="1" si="11"/>
        <v>2.3308429622953138E-3</v>
      </c>
      <c r="M32" s="37"/>
      <c r="N32" s="42"/>
      <c r="O32" s="25"/>
      <c r="P32" s="25"/>
      <c r="Q32" s="25"/>
      <c r="R32" s="25"/>
      <c r="S32" s="25"/>
      <c r="T32" s="25"/>
      <c r="U32" s="25"/>
      <c r="V32" s="25"/>
      <c r="W32" s="25"/>
      <c r="X32" s="15"/>
      <c r="AB32" s="10"/>
    </row>
    <row r="33" spans="1:24" s="7" customFormat="1" x14ac:dyDescent="0.25">
      <c r="A33" s="38"/>
      <c r="B33" s="38"/>
      <c r="C33" s="38"/>
      <c r="D33" s="38"/>
      <c r="E33" s="38"/>
      <c r="F33" s="25"/>
      <c r="G33" s="36">
        <f ca="1">SUM(G28:G32)</f>
        <v>1.1664817624612965E-2</v>
      </c>
      <c r="H33" s="36">
        <f t="shared" ref="H33:L33" ca="1" si="12">SUM(H28:H32)</f>
        <v>1.1664817624612965E-2</v>
      </c>
      <c r="I33" s="36">
        <f ca="1">SUM(I28:I32)</f>
        <v>1.1664817624612966E-2</v>
      </c>
      <c r="J33" s="36">
        <f ca="1">SUM(J28:J32)</f>
        <v>1.1664817624612966E-2</v>
      </c>
      <c r="K33" s="36">
        <f ca="1">SUM(K28:K32)</f>
        <v>1.1664817624612966E-2</v>
      </c>
      <c r="L33" s="36">
        <f t="shared" ca="1" si="12"/>
        <v>1.1664817624612968E-2</v>
      </c>
      <c r="M33" s="37"/>
      <c r="N33" s="42"/>
      <c r="O33" s="25"/>
      <c r="P33" s="25"/>
      <c r="Q33" s="25"/>
      <c r="R33" s="25"/>
      <c r="S33" s="25"/>
      <c r="T33" s="25"/>
      <c r="U33" s="25"/>
      <c r="V33" s="25"/>
      <c r="W33" s="25"/>
      <c r="X33" s="15"/>
    </row>
    <row r="34" spans="1:24" s="7" customFormat="1" x14ac:dyDescent="0.25">
      <c r="A34" s="38"/>
      <c r="B34" s="38"/>
      <c r="C34" s="38"/>
      <c r="D34" s="38"/>
      <c r="E34" s="38"/>
      <c r="F34" s="25"/>
      <c r="G34" s="38">
        <v>0.8</v>
      </c>
      <c r="H34" s="38">
        <v>0.15</v>
      </c>
      <c r="I34" s="38">
        <v>0.1</v>
      </c>
      <c r="J34" s="38">
        <v>0.02</v>
      </c>
      <c r="K34" s="38">
        <v>0.06</v>
      </c>
      <c r="L34" s="38">
        <v>0.35</v>
      </c>
      <c r="M34" s="37"/>
      <c r="N34" s="42"/>
      <c r="O34" s="25"/>
      <c r="P34" s="25"/>
      <c r="Q34" s="25"/>
      <c r="R34" s="25"/>
      <c r="S34" s="25"/>
      <c r="T34" s="25"/>
      <c r="U34" s="25"/>
      <c r="V34" s="25"/>
      <c r="W34" s="25"/>
      <c r="X34" s="15"/>
    </row>
    <row r="35" spans="1:24" s="7" customFormat="1" x14ac:dyDescent="0.25">
      <c r="A35" s="38"/>
      <c r="B35" s="38"/>
      <c r="C35" s="38"/>
      <c r="D35" s="38"/>
      <c r="E35" s="38"/>
      <c r="F35" s="25"/>
      <c r="G35" s="25"/>
      <c r="H35" s="25"/>
      <c r="I35" s="25"/>
      <c r="J35" s="25"/>
      <c r="K35" s="25"/>
      <c r="L35" s="25"/>
      <c r="M35" s="37"/>
      <c r="N35" s="42"/>
      <c r="O35" s="25"/>
      <c r="P35" s="25"/>
      <c r="Q35" s="25"/>
      <c r="R35" s="25"/>
      <c r="S35" s="25"/>
      <c r="T35" s="25"/>
      <c r="U35" s="25"/>
      <c r="V35" s="25"/>
      <c r="W35" s="25"/>
      <c r="X35" s="15"/>
    </row>
    <row r="36" spans="1:24" s="7" customFormat="1" x14ac:dyDescent="0.25">
      <c r="A36" s="62"/>
      <c r="B36" s="62"/>
      <c r="C36" s="62"/>
      <c r="D36" s="62"/>
      <c r="E36" s="63" t="s">
        <v>4</v>
      </c>
      <c r="F36" s="64"/>
      <c r="G36" s="26">
        <f ca="1">(MAX(G28:G32)-MIN(G28:G32))</f>
        <v>2.4567669458409706E-4</v>
      </c>
      <c r="H36" s="26">
        <f t="shared" ref="H36:L36" ca="1" si="13">(MAX(H28:H32)-MIN(H28:H32))</f>
        <v>6.6512202304584841E-4</v>
      </c>
      <c r="I36" s="26">
        <f t="shared" ca="1" si="13"/>
        <v>1.584544791894734E-4</v>
      </c>
      <c r="J36" s="26">
        <f t="shared" ca="1" si="13"/>
        <v>2.6012642261214044E-4</v>
      </c>
      <c r="K36" s="26">
        <f t="shared" ca="1" si="13"/>
        <v>3.3023814842101686E-4</v>
      </c>
      <c r="L36" s="26">
        <f t="shared" ca="1" si="13"/>
        <v>1.4716303038344019E-4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15"/>
    </row>
    <row r="37" spans="1:24" s="7" customFormat="1" x14ac:dyDescent="0.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15"/>
    </row>
    <row r="38" spans="1:24" s="7" customFormat="1" x14ac:dyDescent="0.25">
      <c r="A38" s="25"/>
      <c r="B38" s="25"/>
      <c r="C38" s="25"/>
      <c r="D38" s="25"/>
      <c r="E38" s="25"/>
      <c r="F38" s="25"/>
      <c r="G38" s="43"/>
      <c r="H38" s="43"/>
      <c r="I38" s="43"/>
      <c r="J38" s="43"/>
      <c r="K38" s="43"/>
      <c r="L38" s="43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15"/>
    </row>
    <row r="39" spans="1:24" s="7" customFormat="1" x14ac:dyDescent="0.25">
      <c r="A39" s="25"/>
      <c r="B39" s="25"/>
      <c r="C39" s="25"/>
      <c r="D39" s="25"/>
      <c r="E39" s="25"/>
      <c r="F39" s="25"/>
      <c r="G39" s="43"/>
      <c r="H39" s="43"/>
      <c r="I39" s="43"/>
      <c r="J39" s="43"/>
      <c r="K39" s="43"/>
      <c r="L39" s="43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15"/>
    </row>
    <row r="40" spans="1:24" s="7" customFormat="1" x14ac:dyDescent="0.25">
      <c r="A40" s="25"/>
      <c r="B40" s="25"/>
      <c r="C40" s="25"/>
      <c r="D40" s="25"/>
      <c r="E40" s="25"/>
      <c r="F40" s="25"/>
      <c r="G40" s="43"/>
      <c r="H40" s="43"/>
      <c r="I40" s="43"/>
      <c r="J40" s="43"/>
      <c r="K40" s="43"/>
      <c r="L40" s="43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15"/>
    </row>
    <row r="41" spans="1:24" s="7" customFormat="1" x14ac:dyDescent="0.25">
      <c r="A41" s="25"/>
      <c r="B41" s="25"/>
      <c r="C41" s="25"/>
      <c r="D41" s="25"/>
      <c r="E41" s="25"/>
      <c r="F41" s="25"/>
      <c r="G41" s="43"/>
      <c r="H41" s="43"/>
      <c r="I41" s="43"/>
      <c r="J41" s="43"/>
      <c r="K41" s="43"/>
      <c r="L41" s="43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15"/>
    </row>
    <row r="42" spans="1:24" s="7" customFormat="1" x14ac:dyDescent="0.25">
      <c r="A42" s="25"/>
      <c r="B42" s="25"/>
      <c r="C42" s="25"/>
      <c r="D42" s="25"/>
      <c r="E42" s="25"/>
      <c r="F42" s="25"/>
      <c r="G42" s="43"/>
      <c r="H42" s="43"/>
      <c r="I42" s="43"/>
      <c r="J42" s="43"/>
      <c r="K42" s="43"/>
      <c r="L42" s="43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15"/>
    </row>
    <row r="43" spans="1:24" s="7" customFormat="1" x14ac:dyDescent="0.25">
      <c r="A43" s="25"/>
      <c r="B43" s="25"/>
      <c r="C43" s="25"/>
      <c r="D43" s="25"/>
      <c r="E43" s="25"/>
      <c r="F43" s="25"/>
      <c r="G43" s="43"/>
      <c r="H43" s="43"/>
      <c r="I43" s="43"/>
      <c r="J43" s="43"/>
      <c r="K43" s="43"/>
      <c r="L43" s="43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15"/>
    </row>
    <row r="44" spans="1:24" s="7" customFormat="1" x14ac:dyDescent="0.25">
      <c r="A44" s="25"/>
      <c r="B44" s="25"/>
      <c r="C44" s="25"/>
      <c r="D44" s="25"/>
      <c r="E44" s="25"/>
      <c r="F44" s="25"/>
      <c r="G44" s="43"/>
      <c r="H44" s="43"/>
      <c r="I44" s="43"/>
      <c r="J44" s="43"/>
      <c r="K44" s="43"/>
      <c r="L44" s="43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15"/>
    </row>
    <row r="45" spans="1:24" s="7" customFormat="1" x14ac:dyDescent="0.25">
      <c r="A45" s="25"/>
      <c r="B45" s="25"/>
      <c r="C45" s="25"/>
      <c r="D45" s="25"/>
      <c r="E45" s="25"/>
      <c r="F45" s="25"/>
      <c r="G45" s="43"/>
      <c r="H45" s="43"/>
      <c r="I45" s="43"/>
      <c r="J45" s="43"/>
      <c r="K45" s="43"/>
      <c r="L45" s="43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15"/>
    </row>
    <row r="47" spans="1:24" x14ac:dyDescent="0.25">
      <c r="M47" s="44"/>
      <c r="N47" s="44"/>
      <c r="O47" s="44"/>
      <c r="P47" s="44"/>
      <c r="Q47" s="44"/>
      <c r="R47" s="44"/>
      <c r="S47" s="44"/>
    </row>
  </sheetData>
  <mergeCells count="3">
    <mergeCell ref="G1:L1"/>
    <mergeCell ref="A36:D36"/>
    <mergeCell ref="E36:F36"/>
  </mergeCells>
  <phoneticPr fontId="1" type="noConversion"/>
  <conditionalFormatting sqref="AB27:AB32">
    <cfRule type="top10" priority="4" bottom="1" rank="1"/>
  </conditionalFormatting>
  <conditionalFormatting sqref="G28:L33">
    <cfRule type="expression" dxfId="1" priority="3">
      <formula>G28=MIN(G$28:G$32)</formula>
    </cfRule>
  </conditionalFormatting>
  <conditionalFormatting sqref="X27">
    <cfRule type="top10" priority="2" bottom="1" rank="1"/>
  </conditionalFormatting>
  <conditionalFormatting sqref="G36:M3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26">
    <cfRule type="top10" priority="6" bottom="1" rank="1"/>
  </conditionalFormatting>
  <conditionalFormatting sqref="W2:W26">
    <cfRule type="top10" priority="7" bottom="1" rank="1"/>
  </conditionalFormatting>
  <pageMargins left="0.7" right="0.7" top="0.75" bottom="0.75" header="0.3" footer="0.3"/>
  <pageSetup paperSize="9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4"/>
  <sheetViews>
    <sheetView zoomScale="70" zoomScaleNormal="70" workbookViewId="0">
      <selection activeCell="H17" sqref="H17"/>
    </sheetView>
  </sheetViews>
  <sheetFormatPr defaultColWidth="8.875" defaultRowHeight="14.25" x14ac:dyDescent="0.2"/>
  <cols>
    <col min="1" max="1" width="10.25" customWidth="1"/>
    <col min="2" max="2" width="4.75" bestFit="1" customWidth="1"/>
    <col min="3" max="3" width="3.375" bestFit="1" customWidth="1"/>
    <col min="4" max="4" width="3.5" customWidth="1"/>
    <col min="5" max="5" width="10.25" customWidth="1"/>
    <col min="6" max="6" width="10.375" customWidth="1"/>
    <col min="7" max="7" width="4.75" customWidth="1"/>
    <col min="8" max="32" width="8.25" customWidth="1"/>
    <col min="33" max="33" width="8.25" style="1" customWidth="1"/>
  </cols>
  <sheetData>
    <row r="1" spans="1:33" s="7" customFormat="1" ht="15" x14ac:dyDescent="0.25">
      <c r="A1" s="6" t="s">
        <v>13</v>
      </c>
      <c r="B1" s="6" t="s">
        <v>14</v>
      </c>
      <c r="C1" s="6" t="s">
        <v>10</v>
      </c>
      <c r="E1" s="6" t="s">
        <v>9</v>
      </c>
      <c r="F1" s="6" t="s">
        <v>30</v>
      </c>
      <c r="G1" s="6"/>
      <c r="H1" s="8">
        <v>1</v>
      </c>
      <c r="I1" s="8">
        <v>2</v>
      </c>
      <c r="J1" s="8">
        <v>3</v>
      </c>
      <c r="K1" s="8">
        <v>4</v>
      </c>
      <c r="L1" s="8">
        <v>5</v>
      </c>
      <c r="M1" s="8">
        <v>6</v>
      </c>
      <c r="N1" s="8">
        <v>7</v>
      </c>
      <c r="O1" s="8">
        <v>8</v>
      </c>
      <c r="P1" s="8">
        <v>9</v>
      </c>
      <c r="Q1" s="8">
        <v>10</v>
      </c>
      <c r="R1" s="8">
        <v>11</v>
      </c>
      <c r="S1" s="8">
        <v>12</v>
      </c>
      <c r="T1" s="8">
        <v>13</v>
      </c>
      <c r="U1" s="8">
        <v>14</v>
      </c>
      <c r="V1" s="8">
        <v>15</v>
      </c>
      <c r="W1" s="8">
        <v>16</v>
      </c>
      <c r="X1" s="8">
        <v>17</v>
      </c>
      <c r="Y1" s="8">
        <v>18</v>
      </c>
      <c r="Z1" s="8">
        <v>19</v>
      </c>
      <c r="AA1" s="8">
        <v>20</v>
      </c>
      <c r="AB1" s="8">
        <v>21</v>
      </c>
      <c r="AC1" s="8">
        <v>22</v>
      </c>
      <c r="AD1" s="8">
        <v>23</v>
      </c>
      <c r="AE1" s="8">
        <v>24</v>
      </c>
      <c r="AF1" s="8">
        <v>25</v>
      </c>
      <c r="AG1" s="8"/>
    </row>
    <row r="2" spans="1:33" s="7" customFormat="1" ht="15" x14ac:dyDescent="0.25">
      <c r="A2" s="3" t="s">
        <v>2</v>
      </c>
      <c r="B2" s="3">
        <v>24</v>
      </c>
      <c r="C2" s="3">
        <v>1</v>
      </c>
      <c r="E2" s="54">
        <f ca="1">MIN('1:25'!L2:U2)</f>
        <v>55722.476000000002</v>
      </c>
      <c r="F2" s="55">
        <f ca="1">AVERAGE('1:25'!W2)</f>
        <v>55988.926008000002</v>
      </c>
      <c r="H2" s="9">
        <f ca="1">INDIRECT(COLUMN(A1)&amp;"!AM"&amp;ROW(A1)+1)</f>
        <v>4.3607125426371497E-2</v>
      </c>
      <c r="I2" s="9">
        <f ca="1">INDIRECT(COLUMN(B1)&amp;"!AM"&amp;ROW(B1)+1)</f>
        <v>5.0299021170559087E-2</v>
      </c>
      <c r="J2" s="9">
        <f t="shared" ref="J2:AF2" ca="1" si="0">INDIRECT(COLUMN(C1)&amp;"!AM"&amp;ROW(C1)+1)</f>
        <v>5.4513299085991306E-2</v>
      </c>
      <c r="K2" s="9">
        <f t="shared" ca="1" si="0"/>
        <v>4.9421619383890524E-2</v>
      </c>
      <c r="L2" s="9">
        <f t="shared" ca="1" si="0"/>
        <v>5.154666852923015E-2</v>
      </c>
      <c r="M2" s="9">
        <f t="shared" ca="1" si="0"/>
        <v>4.8688342563958827E-2</v>
      </c>
      <c r="N2" s="9">
        <f t="shared" ca="1" si="0"/>
        <v>4.6722780229650408E-2</v>
      </c>
      <c r="O2" s="9">
        <f t="shared" ca="1" si="0"/>
        <v>4.7530479442442243E-2</v>
      </c>
      <c r="P2" s="9">
        <f t="shared" ca="1" si="0"/>
        <v>4.6328127989143583E-2</v>
      </c>
      <c r="Q2" s="9">
        <f t="shared" ca="1" si="0"/>
        <v>4.8454164168871022E-2</v>
      </c>
      <c r="R2" s="9">
        <f t="shared" ca="1" si="0"/>
        <v>4.5203177977948733E-2</v>
      </c>
      <c r="S2" s="9">
        <f t="shared" ca="1" si="0"/>
        <v>4.3684221785119118E-2</v>
      </c>
      <c r="T2" s="9">
        <f t="shared" ca="1" si="0"/>
        <v>5.1187854610049564E-2</v>
      </c>
      <c r="U2" s="9">
        <f t="shared" ca="1" si="0"/>
        <v>5.288047501693894E-2</v>
      </c>
      <c r="V2" s="9">
        <f t="shared" ca="1" si="0"/>
        <v>4.8667596895729942E-2</v>
      </c>
      <c r="W2" s="9">
        <f t="shared" ca="1" si="0"/>
        <v>4.4984469103633982E-2</v>
      </c>
      <c r="X2" s="9">
        <f t="shared" ca="1" si="0"/>
        <v>5.0805010890039741E-2</v>
      </c>
      <c r="Y2" s="9">
        <f t="shared" ca="1" si="0"/>
        <v>4.7262508579122967E-2</v>
      </c>
      <c r="Z2" s="9">
        <f t="shared" ca="1" si="0"/>
        <v>4.8230789313812653E-2</v>
      </c>
      <c r="AA2" s="9">
        <f t="shared" ca="1" si="0"/>
        <v>4.5756150534301203E-2</v>
      </c>
      <c r="AB2" s="9">
        <f t="shared" ca="1" si="0"/>
        <v>4.5877448087554062E-2</v>
      </c>
      <c r="AC2" s="9">
        <f t="shared" ca="1" si="0"/>
        <v>4.6318203807023617E-2</v>
      </c>
      <c r="AD2" s="9">
        <f t="shared" ca="1" si="0"/>
        <v>4.5567088583787545E-2</v>
      </c>
      <c r="AE2" s="9">
        <f t="shared" ca="1" si="0"/>
        <v>4.7377237867175348E-2</v>
      </c>
      <c r="AF2" s="9">
        <f t="shared" ca="1" si="0"/>
        <v>4.4519414392138176E-2</v>
      </c>
      <c r="AG2" s="6"/>
    </row>
    <row r="3" spans="1:33" s="7" customFormat="1" ht="15" x14ac:dyDescent="0.25">
      <c r="A3" s="3" t="s">
        <v>2</v>
      </c>
      <c r="B3" s="3">
        <v>47</v>
      </c>
      <c r="C3" s="3">
        <v>1</v>
      </c>
      <c r="E3" s="54">
        <f ca="1">MIN('1:25'!L3:U3)</f>
        <v>126021.209</v>
      </c>
      <c r="F3" s="55">
        <f ca="1">AVERAGE('1:25'!W3)</f>
        <v>126280.59363599999</v>
      </c>
      <c r="H3" s="9">
        <f t="shared" ref="H3:H10" ca="1" si="1">INDIRECT(COLUMN(A2)&amp;"!AM"&amp;ROW(A2)+1)</f>
        <v>2.0836254633932044E-2</v>
      </c>
      <c r="I3" s="9">
        <f t="shared" ref="I3:I10" ca="1" si="2">INDIRECT(COLUMN(B2)&amp;"!AM"&amp;ROW(B2)+1)</f>
        <v>2.0118296119504501E-2</v>
      </c>
      <c r="J3" s="9">
        <f t="shared" ref="J3:J10" ca="1" si="3">INDIRECT(COLUMN(C2)&amp;"!AM"&amp;ROW(C2)+1)</f>
        <v>2.2813310734068427E-2</v>
      </c>
      <c r="K3" s="9">
        <f t="shared" ref="K3:K10" ca="1" si="4">INDIRECT(COLUMN(D2)&amp;"!AM"&amp;ROW(D2)+1)</f>
        <v>2.0867773138091086E-2</v>
      </c>
      <c r="L3" s="9">
        <f t="shared" ref="L3:L10" ca="1" si="5">INDIRECT(COLUMN(E2)&amp;"!AM"&amp;ROW(E2)+1)</f>
        <v>2.3484840555687645E-2</v>
      </c>
      <c r="M3" s="9">
        <f t="shared" ref="M3:M10" ca="1" si="6">INDIRECT(COLUMN(F2)&amp;"!AM"&amp;ROW(F2)+1)</f>
        <v>1.9990912799447869E-2</v>
      </c>
      <c r="N3" s="9">
        <f t="shared" ref="N3:N10" ca="1" si="7">INDIRECT(COLUMN(G2)&amp;"!AM"&amp;ROW(G2)+1)</f>
        <v>2.0489313033014621E-2</v>
      </c>
      <c r="O3" s="9">
        <f t="shared" ref="O3:O10" ca="1" si="8">INDIRECT(COLUMN(H2)&amp;"!AM"&amp;ROW(H2)+1)</f>
        <v>1.8308973690293464E-2</v>
      </c>
      <c r="P3" s="9">
        <f t="shared" ref="P3:P10" ca="1" si="9">INDIRECT(COLUMN(I2)&amp;"!AM"&amp;ROW(I2)+1)</f>
        <v>1.8508059226760527E-2</v>
      </c>
      <c r="Q3" s="9">
        <f t="shared" ref="Q3:Q10" ca="1" si="10">INDIRECT(COLUMN(J2)&amp;"!AM"&amp;ROW(J2)+1)</f>
        <v>2.1545270209238972E-2</v>
      </c>
      <c r="R3" s="9">
        <f t="shared" ref="R3:R10" ca="1" si="11">INDIRECT(COLUMN(K2)&amp;"!AM"&amp;ROW(K2)+1)</f>
        <v>2.1405071586005714E-2</v>
      </c>
      <c r="S3" s="9">
        <f t="shared" ref="S3:S10" ca="1" si="12">INDIRECT(COLUMN(L2)&amp;"!AM"&amp;ROW(L2)+1)</f>
        <v>2.1986981572284403E-2</v>
      </c>
      <c r="T3" s="9">
        <f t="shared" ref="T3:T10" ca="1" si="13">INDIRECT(COLUMN(M2)&amp;"!AM"&amp;ROW(M2)+1)</f>
        <v>1.910286386793825E-2</v>
      </c>
      <c r="U3" s="9">
        <f t="shared" ref="U3:U10" ca="1" si="14">INDIRECT(COLUMN(N2)&amp;"!AM"&amp;ROW(N2)+1)</f>
        <v>2.3579467484715146E-2</v>
      </c>
      <c r="V3" s="9">
        <f t="shared" ref="V3:V10" ca="1" si="15">INDIRECT(COLUMN(O2)&amp;"!AM"&amp;ROW(O2)+1)</f>
        <v>2.0562705441113369E-2</v>
      </c>
      <c r="W3" s="9">
        <f t="shared" ref="W3:W10" ca="1" si="16">INDIRECT(COLUMN(P2)&amp;"!AM"&amp;ROW(P2)+1)</f>
        <v>1.9345862647611622E-2</v>
      </c>
      <c r="X3" s="9">
        <f t="shared" ref="X3:X10" ca="1" si="17">INDIRECT(COLUMN(Q2)&amp;"!AM"&amp;ROW(Q2)+1)</f>
        <v>2.0780192642017747E-2</v>
      </c>
      <c r="Y3" s="9">
        <f t="shared" ref="Y3:Y10" ca="1" si="18">INDIRECT(COLUMN(R2)&amp;"!AM"&amp;ROW(R2)+1)</f>
        <v>1.668854803638628E-2</v>
      </c>
      <c r="Z3" s="9">
        <f t="shared" ref="Z3:Z10" ca="1" si="19">INDIRECT(COLUMN(S2)&amp;"!AM"&amp;ROW(S2)+1)</f>
        <v>2.102857940364607E-2</v>
      </c>
      <c r="AA3" s="9">
        <f t="shared" ref="AA3:AA10" ca="1" si="20">INDIRECT(COLUMN(T2)&amp;"!AM"&amp;ROW(T2)+1)</f>
        <v>2.1654132837274839E-2</v>
      </c>
      <c r="AB3" s="9">
        <f t="shared" ref="AB3:AB10" ca="1" si="21">INDIRECT(COLUMN(U2)&amp;"!AM"&amp;ROW(U2)+1)</f>
        <v>2.1330060402769024E-2</v>
      </c>
      <c r="AC3" s="9">
        <f t="shared" ref="AC3:AC10" ca="1" si="22">INDIRECT(COLUMN(V2)&amp;"!AM"&amp;ROW(V2)+1)</f>
        <v>1.9008760660278883E-2</v>
      </c>
      <c r="AD3" s="9">
        <f t="shared" ref="AD3:AD10" ca="1" si="23">INDIRECT(COLUMN(W2)&amp;"!AM"&amp;ROW(W2)+1)</f>
        <v>2.2773991955591898E-2</v>
      </c>
      <c r="AE3" s="9">
        <f t="shared" ref="AE3:AE10" ca="1" si="24">INDIRECT(COLUMN(X2)&amp;"!AM"&amp;ROW(X2)+1)</f>
        <v>1.9101443472106044E-2</v>
      </c>
      <c r="AF3" s="9">
        <f t="shared" ref="AF3:AF10" ca="1" si="25">INDIRECT(COLUMN(Y2)&amp;"!AM"&amp;ROW(Y2)+1)</f>
        <v>1.9253774973702849E-2</v>
      </c>
      <c r="AG3" s="6"/>
    </row>
    <row r="4" spans="1:33" s="7" customFormat="1" ht="15" x14ac:dyDescent="0.25">
      <c r="A4" s="3" t="s">
        <v>2</v>
      </c>
      <c r="B4" s="3">
        <v>100</v>
      </c>
      <c r="C4" s="3">
        <v>1</v>
      </c>
      <c r="E4" s="54">
        <f ca="1">MIN('1:25'!L4:U4)</f>
        <v>1216556.6340000001</v>
      </c>
      <c r="F4" s="55">
        <f ca="1">AVERAGE('1:25'!W4)</f>
        <v>1217068.8167279998</v>
      </c>
      <c r="H4" s="9">
        <f t="shared" ca="1" si="1"/>
        <v>3.5708103335197285E-3</v>
      </c>
      <c r="I4" s="9">
        <f t="shared" ca="1" si="2"/>
        <v>5.3190141906694424E-3</v>
      </c>
      <c r="J4" s="9">
        <f t="shared" ca="1" si="3"/>
        <v>2.94708844602737E-3</v>
      </c>
      <c r="K4" s="9">
        <f t="shared" ca="1" si="4"/>
        <v>2.8553533003865825E-3</v>
      </c>
      <c r="L4" s="9">
        <f t="shared" ca="1" si="5"/>
        <v>4.1041599383524769E-3</v>
      </c>
      <c r="M4" s="9">
        <f t="shared" ca="1" si="6"/>
        <v>5.0252555689893575E-3</v>
      </c>
      <c r="N4" s="9">
        <f t="shared" ca="1" si="7"/>
        <v>2.7285026502096199E-3</v>
      </c>
      <c r="O4" s="9">
        <f t="shared" ca="1" si="8"/>
        <v>3.2972299750732865E-3</v>
      </c>
      <c r="P4" s="9">
        <f t="shared" ca="1" si="9"/>
        <v>4.8676599465237213E-3</v>
      </c>
      <c r="Q4" s="9">
        <f t="shared" ca="1" si="10"/>
        <v>2.6238351021141719E-3</v>
      </c>
      <c r="R4" s="9">
        <f t="shared" ca="1" si="11"/>
        <v>4.2430092079045242E-3</v>
      </c>
      <c r="S4" s="9">
        <f t="shared" ca="1" si="12"/>
        <v>5.719904692903531E-3</v>
      </c>
      <c r="T4" s="9">
        <f t="shared" ca="1" si="13"/>
        <v>5.6101975109525987E-3</v>
      </c>
      <c r="U4" s="9">
        <f t="shared" ca="1" si="14"/>
        <v>4.1515280578373814E-3</v>
      </c>
      <c r="V4" s="9">
        <f t="shared" ca="1" si="15"/>
        <v>3.9423039305863904E-3</v>
      </c>
      <c r="W4" s="9">
        <f t="shared" ca="1" si="16"/>
        <v>5.2717792339120415E-3</v>
      </c>
      <c r="X4" s="9">
        <f t="shared" ca="1" si="17"/>
        <v>4.0598989491835722E-3</v>
      </c>
      <c r="Y4" s="9">
        <f t="shared" ca="1" si="18"/>
        <v>3.1265260438333234E-3</v>
      </c>
      <c r="Z4" s="9">
        <f t="shared" ca="1" si="19"/>
        <v>5.0960332028399391E-3</v>
      </c>
      <c r="AA4" s="9">
        <f t="shared" ca="1" si="20"/>
        <v>4.6065344130944942E-3</v>
      </c>
      <c r="AB4" s="9">
        <f t="shared" ca="1" si="21"/>
        <v>5.3398393617234705E-3</v>
      </c>
      <c r="AC4" s="9">
        <f t="shared" ca="1" si="22"/>
        <v>3.4496059474031279E-3</v>
      </c>
      <c r="AD4" s="9">
        <f t="shared" ca="1" si="23"/>
        <v>4.84046433632725E-3</v>
      </c>
      <c r="AE4" s="9">
        <f t="shared" ca="1" si="24"/>
        <v>4.0034280886580981E-3</v>
      </c>
      <c r="AF4" s="9">
        <f t="shared" ca="1" si="25"/>
        <v>4.4525826818180032E-3</v>
      </c>
      <c r="AG4" s="6"/>
    </row>
    <row r="5" spans="1:33" s="7" customFormat="1" ht="15" x14ac:dyDescent="0.25">
      <c r="A5" s="3" t="s">
        <v>1</v>
      </c>
      <c r="B5" s="3">
        <v>30</v>
      </c>
      <c r="C5" s="3">
        <v>1</v>
      </c>
      <c r="E5" s="54">
        <f ca="1">MIN('1:25'!L5:U5)</f>
        <v>19969.536</v>
      </c>
      <c r="F5" s="55">
        <f ca="1">AVERAGE('1:25'!W5)</f>
        <v>20014.850572000003</v>
      </c>
      <c r="H5" s="9">
        <f t="shared" ca="1" si="1"/>
        <v>2.0713500804425258E-2</v>
      </c>
      <c r="I5" s="9">
        <f t="shared" ca="1" si="2"/>
        <v>2.3370848476399336E-2</v>
      </c>
      <c r="J5" s="9">
        <f t="shared" ca="1" si="3"/>
        <v>2.4286142652488459E-2</v>
      </c>
      <c r="K5" s="9">
        <f t="shared" ca="1" si="4"/>
        <v>2.0191155167551329E-2</v>
      </c>
      <c r="L5" s="9">
        <f t="shared" ca="1" si="5"/>
        <v>2.238910308181415E-2</v>
      </c>
      <c r="M5" s="9">
        <f t="shared" ca="1" si="6"/>
        <v>2.2973192767222997E-2</v>
      </c>
      <c r="N5" s="9">
        <f t="shared" ca="1" si="7"/>
        <v>2.2094604501576669E-2</v>
      </c>
      <c r="O5" s="9">
        <f t="shared" ca="1" si="8"/>
        <v>2.4304470569571673E-2</v>
      </c>
      <c r="P5" s="9">
        <f t="shared" ca="1" si="9"/>
        <v>3.505905194792696E-2</v>
      </c>
      <c r="Q5" s="9">
        <f t="shared" ca="1" si="10"/>
        <v>2.4025996397712836E-2</v>
      </c>
      <c r="R5" s="9">
        <f t="shared" ca="1" si="11"/>
        <v>1.1378481703330421E-2</v>
      </c>
      <c r="S5" s="9">
        <f t="shared" ca="1" si="12"/>
        <v>2.023757587557359E-2</v>
      </c>
      <c r="T5" s="9">
        <f t="shared" ca="1" si="13"/>
        <v>1.8532929357998332E-2</v>
      </c>
      <c r="U5" s="9">
        <f t="shared" ca="1" si="14"/>
        <v>1.9655489241212326E-2</v>
      </c>
      <c r="V5" s="9">
        <f t="shared" ca="1" si="15"/>
        <v>2.5708509201215229E-2</v>
      </c>
      <c r="W5" s="9">
        <f t="shared" ca="1" si="16"/>
        <v>1.7654140787247048E-2</v>
      </c>
      <c r="X5" s="9">
        <f t="shared" ca="1" si="17"/>
        <v>2.1338853341409291E-2</v>
      </c>
      <c r="Y5" s="9">
        <f t="shared" ca="1" si="18"/>
        <v>2.4935732107145694E-2</v>
      </c>
      <c r="Z5" s="9">
        <f t="shared" ca="1" si="19"/>
        <v>2.4833826885111498E-2</v>
      </c>
      <c r="AA5" s="9">
        <f t="shared" ca="1" si="20"/>
        <v>2.9548408135271612E-2</v>
      </c>
      <c r="AB5" s="9">
        <f t="shared" ca="1" si="21"/>
        <v>2.0125004406712426E-2</v>
      </c>
      <c r="AC5" s="9">
        <f t="shared" ca="1" si="22"/>
        <v>1.4826083089762311E-2</v>
      </c>
      <c r="AD5" s="9">
        <f t="shared" ca="1" si="23"/>
        <v>2.8194445779811565E-2</v>
      </c>
      <c r="AE5" s="9">
        <f t="shared" ca="1" si="24"/>
        <v>2.8828411436300251E-2</v>
      </c>
      <c r="AF5" s="9">
        <f t="shared" ca="1" si="25"/>
        <v>2.2090297941824891E-2</v>
      </c>
      <c r="AG5" s="6"/>
    </row>
    <row r="6" spans="1:33" s="7" customFormat="1" ht="15" x14ac:dyDescent="0.25">
      <c r="A6" s="3" t="s">
        <v>1</v>
      </c>
      <c r="B6" s="3">
        <v>50</v>
      </c>
      <c r="C6" s="3">
        <v>1</v>
      </c>
      <c r="E6" s="54">
        <f ca="1">MIN('1:25'!L6:U6)</f>
        <v>35277.981</v>
      </c>
      <c r="F6" s="55">
        <f ca="1">AVERAGE('1:25'!W6)</f>
        <v>35379.313543999997</v>
      </c>
      <c r="H6" s="9">
        <f t="shared" ca="1" si="1"/>
        <v>2.9444598884500042E-2</v>
      </c>
      <c r="I6" s="9">
        <f t="shared" ca="1" si="2"/>
        <v>3.5068021608152714E-2</v>
      </c>
      <c r="J6" s="9">
        <f t="shared" ca="1" si="3"/>
        <v>1.0593916925121186E-2</v>
      </c>
      <c r="K6" s="9">
        <f t="shared" ca="1" si="4"/>
        <v>2.7392724090417986E-2</v>
      </c>
      <c r="L6" s="9">
        <f t="shared" ca="1" si="5"/>
        <v>2.0440909019141057E-2</v>
      </c>
      <c r="M6" s="9">
        <f t="shared" ca="1" si="6"/>
        <v>1.4217536995668533E-2</v>
      </c>
      <c r="N6" s="9">
        <f t="shared" ca="1" si="7"/>
        <v>2.4016992355657067E-2</v>
      </c>
      <c r="O6" s="9">
        <f t="shared" ca="1" si="8"/>
        <v>2.743643407484124E-2</v>
      </c>
      <c r="P6" s="9">
        <f t="shared" ca="1" si="9"/>
        <v>4.0772939925331764E-2</v>
      </c>
      <c r="Q6" s="9">
        <f t="shared" ca="1" si="10"/>
        <v>1.4050435596073428E-2</v>
      </c>
      <c r="R6" s="9">
        <f t="shared" ca="1" si="11"/>
        <v>1.066291180325781E-2</v>
      </c>
      <c r="S6" s="9">
        <f t="shared" ca="1" si="12"/>
        <v>4.9918417950278973E-2</v>
      </c>
      <c r="T6" s="9">
        <f t="shared" ca="1" si="13"/>
        <v>2.6680863624253207E-2</v>
      </c>
      <c r="U6" s="9">
        <f t="shared" ca="1" si="14"/>
        <v>1.9926593871684467E-2</v>
      </c>
      <c r="V6" s="9">
        <f t="shared" ca="1" si="15"/>
        <v>3.345253800097004E-2</v>
      </c>
      <c r="W6" s="9">
        <f t="shared" ca="1" si="16"/>
        <v>4.2501128395074722E-2</v>
      </c>
      <c r="X6" s="9">
        <f t="shared" ca="1" si="17"/>
        <v>2.010503378863978E-2</v>
      </c>
      <c r="Y6" s="9">
        <f t="shared" ca="1" si="18"/>
        <v>1.801302064310302E-2</v>
      </c>
      <c r="Z6" s="9">
        <f t="shared" ca="1" si="19"/>
        <v>3.7903444644408625E-2</v>
      </c>
      <c r="AA6" s="9">
        <f t="shared" ca="1" si="20"/>
        <v>3.82945101081607E-2</v>
      </c>
      <c r="AB6" s="9">
        <f t="shared" ca="1" si="21"/>
        <v>3.98223186298561E-2</v>
      </c>
      <c r="AC6" s="9">
        <f t="shared" ca="1" si="22"/>
        <v>1.7747926107222645E-2</v>
      </c>
      <c r="AD6" s="9">
        <f t="shared" ca="1" si="23"/>
        <v>3.5992819430341001E-2</v>
      </c>
      <c r="AE6" s="9">
        <f t="shared" ca="1" si="24"/>
        <v>3.7216869071957419E-2</v>
      </c>
      <c r="AF6" s="9">
        <f t="shared" ca="1" si="25"/>
        <v>4.6427600264312675E-2</v>
      </c>
      <c r="AG6" s="6"/>
    </row>
    <row r="7" spans="1:33" s="7" customFormat="1" ht="15" x14ac:dyDescent="0.25">
      <c r="A7" s="3" t="s">
        <v>1</v>
      </c>
      <c r="B7" s="3">
        <v>100</v>
      </c>
      <c r="C7" s="3">
        <v>1</v>
      </c>
      <c r="E7" s="54">
        <f ca="1">MIN('1:25'!L7:U7)</f>
        <v>63035.512000000002</v>
      </c>
      <c r="F7" s="55">
        <f ca="1">AVERAGE('1:25'!W7)</f>
        <v>63152.114335999991</v>
      </c>
      <c r="H7" s="9">
        <f t="shared" ca="1" si="1"/>
        <v>1.4009261953801158E-2</v>
      </c>
      <c r="I7" s="9">
        <f t="shared" ca="1" si="2"/>
        <v>2.15264690798414E-2</v>
      </c>
      <c r="J7" s="9">
        <f t="shared" ca="1" si="3"/>
        <v>1.5421148637612079E-2</v>
      </c>
      <c r="K7" s="9">
        <f t="shared" ca="1" si="4"/>
        <v>1.9037792538275547E-2</v>
      </c>
      <c r="L7" s="9">
        <f t="shared" ca="1" si="5"/>
        <v>1.6283551405118651E-2</v>
      </c>
      <c r="M7" s="9">
        <f t="shared" ca="1" si="6"/>
        <v>1.8713166000776962E-2</v>
      </c>
      <c r="N7" s="9">
        <f t="shared" ca="1" si="7"/>
        <v>1.6804083387154396E-2</v>
      </c>
      <c r="O7" s="9">
        <f t="shared" ca="1" si="8"/>
        <v>2.6356936705772663E-2</v>
      </c>
      <c r="P7" s="9">
        <f t="shared" ca="1" si="9"/>
        <v>1.8828545407864324E-2</v>
      </c>
      <c r="Q7" s="9">
        <f t="shared" ca="1" si="10"/>
        <v>7.7472203287565393E-3</v>
      </c>
      <c r="R7" s="9">
        <f t="shared" ca="1" si="11"/>
        <v>1.7825142754452069E-2</v>
      </c>
      <c r="S7" s="9">
        <f t="shared" ca="1" si="12"/>
        <v>1.8258803069609073E-2</v>
      </c>
      <c r="T7" s="9">
        <f t="shared" ca="1" si="13"/>
        <v>2.1146968711858373E-2</v>
      </c>
      <c r="U7" s="9">
        <f t="shared" ca="1" si="14"/>
        <v>8.3021614863692892E-3</v>
      </c>
      <c r="V7" s="9">
        <f t="shared" ca="1" si="15"/>
        <v>1.7384375334334866E-2</v>
      </c>
      <c r="W7" s="9">
        <f t="shared" ca="1" si="16"/>
        <v>2.402483857035977E-2</v>
      </c>
      <c r="X7" s="9">
        <f t="shared" ca="1" si="17"/>
        <v>2.1792239904388631E-2</v>
      </c>
      <c r="Y7" s="9">
        <f t="shared" ca="1" si="18"/>
        <v>1.2588856262482273E-2</v>
      </c>
      <c r="Z7" s="9">
        <f t="shared" ca="1" si="19"/>
        <v>2.3612214016759014E-2</v>
      </c>
      <c r="AA7" s="9">
        <f t="shared" ca="1" si="20"/>
        <v>2.121088506427881E-2</v>
      </c>
      <c r="AB7" s="9">
        <f t="shared" ca="1" si="21"/>
        <v>2.0484913329489256E-2</v>
      </c>
      <c r="AC7" s="9">
        <f t="shared" ca="1" si="22"/>
        <v>1.7855570047562622E-2</v>
      </c>
      <c r="AD7" s="9">
        <f t="shared" ca="1" si="23"/>
        <v>1.9185153917683353E-2</v>
      </c>
      <c r="AE7" s="9">
        <f t="shared" ca="1" si="24"/>
        <v>2.0581493809394034E-2</v>
      </c>
      <c r="AF7" s="9">
        <f t="shared" ca="1" si="25"/>
        <v>2.3465217511043263E-2</v>
      </c>
      <c r="AG7" s="6"/>
    </row>
    <row r="8" spans="1:33" s="7" customFormat="1" ht="15" x14ac:dyDescent="0.25">
      <c r="A8" s="3" t="s">
        <v>0</v>
      </c>
      <c r="B8" s="3">
        <v>25</v>
      </c>
      <c r="C8" s="3">
        <v>1</v>
      </c>
      <c r="E8" s="54">
        <f ca="1">MIN('1:25'!L8:U8)</f>
        <v>722.92</v>
      </c>
      <c r="F8" s="55">
        <f ca="1">AVERAGE('1:25'!W8)</f>
        <v>723.47691599999996</v>
      </c>
      <c r="H8" s="9">
        <f t="shared" ca="1" si="1"/>
        <v>8.6620926243574838E-3</v>
      </c>
      <c r="I8" s="9">
        <f t="shared" ca="1" si="2"/>
        <v>7.1736845017434528E-3</v>
      </c>
      <c r="J8" s="9">
        <f t="shared" ca="1" si="3"/>
        <v>1.0027388922702721E-2</v>
      </c>
      <c r="K8" s="9">
        <f t="shared" ca="1" si="4"/>
        <v>7.4434238919941723E-3</v>
      </c>
      <c r="L8" s="9">
        <f t="shared" ca="1" si="5"/>
        <v>9.4477950533950958E-3</v>
      </c>
      <c r="M8" s="9">
        <f t="shared" ca="1" si="6"/>
        <v>7.8819233110168762E-3</v>
      </c>
      <c r="N8" s="9">
        <f t="shared" ca="1" si="7"/>
        <v>6.1680407237322456E-3</v>
      </c>
      <c r="O8" s="9">
        <f t="shared" ca="1" si="8"/>
        <v>1.0129751563105785E-2</v>
      </c>
      <c r="P8" s="9">
        <f t="shared" ca="1" si="9"/>
        <v>6.5553588225534982E-3</v>
      </c>
      <c r="Q8" s="9">
        <f t="shared" ca="1" si="10"/>
        <v>7.7850937863117604E-3</v>
      </c>
      <c r="R8" s="9">
        <f t="shared" ca="1" si="11"/>
        <v>8.9636474298684134E-3</v>
      </c>
      <c r="S8" s="9">
        <f t="shared" ca="1" si="12"/>
        <v>4.7861450782944242E-3</v>
      </c>
      <c r="T8" s="9">
        <f t="shared" ca="1" si="13"/>
        <v>7.1238864604664873E-3</v>
      </c>
      <c r="U8" s="9">
        <f t="shared" ca="1" si="14"/>
        <v>9.9305593979977635E-3</v>
      </c>
      <c r="V8" s="9">
        <f t="shared" ca="1" si="15"/>
        <v>5.5524816023907915E-3</v>
      </c>
      <c r="W8" s="9">
        <f t="shared" ca="1" si="16"/>
        <v>7.3535107619107035E-3</v>
      </c>
      <c r="X8" s="9">
        <f t="shared" ca="1" si="17"/>
        <v>8.3384053560563373E-3</v>
      </c>
      <c r="Y8" s="9">
        <f t="shared" ca="1" si="18"/>
        <v>5.6617606374151893E-3</v>
      </c>
      <c r="Z8" s="9">
        <f t="shared" ca="1" si="19"/>
        <v>9.8752282410231648E-3</v>
      </c>
      <c r="AA8" s="9">
        <f t="shared" ca="1" si="20"/>
        <v>8.6980578763909966E-3</v>
      </c>
      <c r="AB8" s="9">
        <f t="shared" ca="1" si="21"/>
        <v>7.0851546505841557E-3</v>
      </c>
      <c r="AC8" s="9">
        <f t="shared" ca="1" si="22"/>
        <v>7.6578321252702914E-3</v>
      </c>
      <c r="AD8" s="9">
        <f t="shared" ca="1" si="23"/>
        <v>8.3992696287284122E-3</v>
      </c>
      <c r="AE8" s="9">
        <f t="shared" ca="1" si="24"/>
        <v>7.4143750345824645E-3</v>
      </c>
      <c r="AF8" s="9">
        <f t="shared" ca="1" si="25"/>
        <v>4.4776738781613749E-3</v>
      </c>
      <c r="AG8" s="6"/>
    </row>
    <row r="9" spans="1:33" s="7" customFormat="1" ht="15" x14ac:dyDescent="0.25">
      <c r="A9" s="3" t="s">
        <v>0</v>
      </c>
      <c r="B9" s="3">
        <v>50</v>
      </c>
      <c r="C9" s="3">
        <v>1</v>
      </c>
      <c r="E9" s="54">
        <f ca="1">MIN('1:25'!L9:U9)</f>
        <v>1570.17</v>
      </c>
      <c r="F9" s="55">
        <f ca="1">AVERAGE('1:25'!W9)</f>
        <v>1572.1088879999998</v>
      </c>
      <c r="H9" s="9">
        <f t="shared" ca="1" si="1"/>
        <v>1.5476031257761435E-2</v>
      </c>
      <c r="I9" s="9">
        <f t="shared" ca="1" si="2"/>
        <v>8.687594336918545E-3</v>
      </c>
      <c r="J9" s="9">
        <f t="shared" ca="1" si="3"/>
        <v>1.249928351707095E-2</v>
      </c>
      <c r="K9" s="9">
        <f t="shared" ca="1" si="4"/>
        <v>9.192635192367106E-3</v>
      </c>
      <c r="L9" s="9">
        <f t="shared" ca="1" si="5"/>
        <v>9.3677754638027411E-3</v>
      </c>
      <c r="M9" s="9">
        <f t="shared" ca="1" si="6"/>
        <v>8.5009903386252909E-3</v>
      </c>
      <c r="N9" s="9">
        <f t="shared" ca="1" si="7"/>
        <v>1.0695020284427441E-2</v>
      </c>
      <c r="O9" s="9">
        <f t="shared" ca="1" si="8"/>
        <v>1.2078946865625658E-2</v>
      </c>
      <c r="P9" s="9">
        <f t="shared" ca="1" si="9"/>
        <v>1.4972901023455762E-2</v>
      </c>
      <c r="Q9" s="9">
        <f t="shared" ca="1" si="10"/>
        <v>1.010272773011785E-2</v>
      </c>
      <c r="R9" s="9">
        <f t="shared" ca="1" si="11"/>
        <v>1.0127565804976122E-2</v>
      </c>
      <c r="S9" s="9">
        <f t="shared" ca="1" si="12"/>
        <v>1.5565193577764777E-2</v>
      </c>
      <c r="T9" s="9">
        <f t="shared" ca="1" si="13"/>
        <v>1.3390269843392085E-2</v>
      </c>
      <c r="U9" s="9">
        <f t="shared" ca="1" si="14"/>
        <v>9.5703013049536888E-3</v>
      </c>
      <c r="V9" s="9">
        <f t="shared" ca="1" si="15"/>
        <v>1.3897858193698267E-2</v>
      </c>
      <c r="W9" s="9">
        <f t="shared" ca="1" si="16"/>
        <v>1.4370418489717433E-2</v>
      </c>
      <c r="X9" s="9">
        <f t="shared" ca="1" si="17"/>
        <v>7.2196004254312142E-3</v>
      </c>
      <c r="Y9" s="9">
        <f t="shared" ca="1" si="18"/>
        <v>8.8366227860673142E-3</v>
      </c>
      <c r="Z9" s="9">
        <f t="shared" ca="1" si="19"/>
        <v>1.612564244635898E-2</v>
      </c>
      <c r="AA9" s="9">
        <f t="shared" ca="1" si="20"/>
        <v>1.9829699968792733E-2</v>
      </c>
      <c r="AB9" s="9">
        <f t="shared" ca="1" si="21"/>
        <v>1.7235713330403055E-2</v>
      </c>
      <c r="AC9" s="9">
        <f t="shared" ca="1" si="22"/>
        <v>6.8680461351314972E-3</v>
      </c>
      <c r="AD9" s="9">
        <f t="shared" ca="1" si="23"/>
        <v>1.8153448352725497E-2</v>
      </c>
      <c r="AE9" s="9">
        <f t="shared" ca="1" si="24"/>
        <v>9.5066139335226278E-3</v>
      </c>
      <c r="AF9" s="9">
        <f t="shared" ca="1" si="25"/>
        <v>1.6435799945228292E-2</v>
      </c>
      <c r="AG9" s="6"/>
    </row>
    <row r="10" spans="1:33" s="7" customFormat="1" ht="15" x14ac:dyDescent="0.25">
      <c r="A10" s="3" t="s">
        <v>28</v>
      </c>
      <c r="B10" s="3">
        <v>100</v>
      </c>
      <c r="C10" s="3">
        <v>1</v>
      </c>
      <c r="E10" s="54">
        <f ca="1">MIN('1:25'!L10:U10)</f>
        <v>3290.5340000000001</v>
      </c>
      <c r="F10" s="55">
        <f ca="1">AVERAGE('1:25'!W10)</f>
        <v>3306.1281520000007</v>
      </c>
      <c r="H10" s="9">
        <f t="shared" ca="1" si="1"/>
        <v>7.6748333249253523E-2</v>
      </c>
      <c r="I10" s="9">
        <f t="shared" ca="1" si="2"/>
        <v>1.8020783252809078E-2</v>
      </c>
      <c r="J10" s="9">
        <f t="shared" ca="1" si="3"/>
        <v>3.6831104009257778E-2</v>
      </c>
      <c r="K10" s="9">
        <f t="shared" ca="1" si="4"/>
        <v>3.5093392136351952E-2</v>
      </c>
      <c r="L10" s="9">
        <f t="shared" ca="1" si="5"/>
        <v>7.4210751203299785E-2</v>
      </c>
      <c r="M10" s="9">
        <f t="shared" ca="1" si="6"/>
        <v>7.5683156594035683E-2</v>
      </c>
      <c r="N10" s="9">
        <f t="shared" ca="1" si="7"/>
        <v>3.3284871087792656E-2</v>
      </c>
      <c r="O10" s="9">
        <f t="shared" ca="1" si="8"/>
        <v>2.0176968236766162E-2</v>
      </c>
      <c r="P10" s="9">
        <f t="shared" ca="1" si="9"/>
        <v>1.0589466633682688E-2</v>
      </c>
      <c r="Q10" s="9">
        <f t="shared" ca="1" si="10"/>
        <v>6.076338977199431E-2</v>
      </c>
      <c r="R10" s="9">
        <f t="shared" ca="1" si="11"/>
        <v>9.8925280820681055E-2</v>
      </c>
      <c r="S10" s="9">
        <f t="shared" ca="1" si="12"/>
        <v>5.5891536145804492E-2</v>
      </c>
      <c r="T10" s="9">
        <f t="shared" ca="1" si="13"/>
        <v>2.6727880641865168E-2</v>
      </c>
      <c r="U10" s="9">
        <f t="shared" ca="1" si="14"/>
        <v>7.5939649917004234E-2</v>
      </c>
      <c r="V10" s="9">
        <f t="shared" ca="1" si="15"/>
        <v>1.3357102525000155E-2</v>
      </c>
      <c r="W10" s="9">
        <f t="shared" ca="1" si="16"/>
        <v>0.10393480207163908</v>
      </c>
      <c r="X10" s="9">
        <f t="shared" ca="1" si="17"/>
        <v>5.122208127920843E-2</v>
      </c>
      <c r="Y10" s="9">
        <f t="shared" ca="1" si="18"/>
        <v>3.0095723065009964E-2</v>
      </c>
      <c r="Z10" s="9">
        <f t="shared" ca="1" si="19"/>
        <v>2.5139992475385092E-2</v>
      </c>
      <c r="AA10" s="9">
        <f t="shared" ca="1" si="20"/>
        <v>1.2995155193655209E-2</v>
      </c>
      <c r="AB10" s="9">
        <f t="shared" ca="1" si="21"/>
        <v>0.11376967993644768</v>
      </c>
      <c r="AC10" s="9">
        <f t="shared" ca="1" si="22"/>
        <v>4.8467209273631212E-2</v>
      </c>
      <c r="AD10" s="9">
        <f t="shared" ca="1" si="23"/>
        <v>3.5310378193934212E-2</v>
      </c>
      <c r="AE10" s="9">
        <f t="shared" ca="1" si="24"/>
        <v>1.8641351221412462E-2</v>
      </c>
      <c r="AF10" s="9">
        <f t="shared" ca="1" si="25"/>
        <v>3.2953617862632609E-2</v>
      </c>
      <c r="AG10" s="6"/>
    </row>
    <row r="12" spans="1:33" x14ac:dyDescent="0.2">
      <c r="E12" t="s">
        <v>29</v>
      </c>
      <c r="G12" t="s">
        <v>16</v>
      </c>
      <c r="H12" s="22">
        <f t="shared" ref="H12:AF12" ca="1" si="26">SUM(H2:H10)</f>
        <v>0.2330680091679222</v>
      </c>
      <c r="I12" s="22">
        <f t="shared" ca="1" si="26"/>
        <v>0.18958373273659757</v>
      </c>
      <c r="J12" s="22">
        <f t="shared" ca="1" si="26"/>
        <v>0.18993268293034027</v>
      </c>
      <c r="K12" s="22">
        <f t="shared" ca="1" si="26"/>
        <v>0.19149586883932626</v>
      </c>
      <c r="L12" s="22">
        <f t="shared" ca="1" si="26"/>
        <v>0.23127555424984175</v>
      </c>
      <c r="M12" s="22">
        <f t="shared" ca="1" si="26"/>
        <v>0.22167447693974238</v>
      </c>
      <c r="N12" s="22">
        <f t="shared" ca="1" si="26"/>
        <v>0.18300420825321514</v>
      </c>
      <c r="O12" s="22">
        <f t="shared" ca="1" si="26"/>
        <v>0.18962019112349215</v>
      </c>
      <c r="P12" s="22">
        <f t="shared" ca="1" si="26"/>
        <v>0.19648211092324283</v>
      </c>
      <c r="Q12" s="22">
        <f t="shared" ca="1" si="26"/>
        <v>0.19709813309119087</v>
      </c>
      <c r="R12" s="22">
        <f t="shared" ca="1" si="26"/>
        <v>0.22873428908842486</v>
      </c>
      <c r="S12" s="22">
        <f t="shared" ca="1" si="26"/>
        <v>0.23604877974763239</v>
      </c>
      <c r="T12" s="22">
        <f t="shared" ca="1" si="26"/>
        <v>0.18950371462877408</v>
      </c>
      <c r="U12" s="22">
        <f t="shared" ca="1" si="26"/>
        <v>0.22393622577871319</v>
      </c>
      <c r="V12" s="22">
        <f t="shared" ca="1" si="26"/>
        <v>0.18252547112503908</v>
      </c>
      <c r="W12" s="22">
        <f t="shared" ca="1" si="26"/>
        <v>0.27944095006110642</v>
      </c>
      <c r="X12" s="22">
        <f t="shared" ca="1" si="26"/>
        <v>0.20566131657637476</v>
      </c>
      <c r="Y12" s="22">
        <f t="shared" ca="1" si="26"/>
        <v>0.16720929816056601</v>
      </c>
      <c r="Z12" s="22">
        <f t="shared" ca="1" si="26"/>
        <v>0.21184575062934502</v>
      </c>
      <c r="AA12" s="22">
        <f t="shared" ca="1" si="26"/>
        <v>0.20259353413122058</v>
      </c>
      <c r="AB12" s="22">
        <f t="shared" ca="1" si="26"/>
        <v>0.29107013213553923</v>
      </c>
      <c r="AC12" s="22">
        <f t="shared" ca="1" si="26"/>
        <v>0.18219923719328621</v>
      </c>
      <c r="AD12" s="22">
        <f t="shared" ca="1" si="26"/>
        <v>0.21841706017893073</v>
      </c>
      <c r="AE12" s="22">
        <f t="shared" ca="1" si="26"/>
        <v>0.19267122393510877</v>
      </c>
      <c r="AF12" s="22">
        <f t="shared" ca="1" si="26"/>
        <v>0.21407597945086215</v>
      </c>
    </row>
    <row r="14" spans="1:33" s="56" customFormat="1" x14ac:dyDescent="0.2">
      <c r="H14" s="56">
        <f ca="1">'1'!$W2</f>
        <v>55965.465700000001</v>
      </c>
      <c r="I14" s="56">
        <f ca="1">'2'!$W2</f>
        <v>56002.7546</v>
      </c>
      <c r="J14" s="56">
        <f ca="1">'3'!$W2</f>
        <v>56026.237600000008</v>
      </c>
      <c r="K14" s="56">
        <f ca="1">'4'!$W2</f>
        <v>55997.865499999993</v>
      </c>
      <c r="L14" s="56">
        <f ca="1">'5'!$W2</f>
        <v>56009.7068</v>
      </c>
      <c r="M14" s="56">
        <f ca="1">'6'!$W2</f>
        <v>55993.779500000004</v>
      </c>
      <c r="N14" s="56">
        <f ca="1">'7'!$W2</f>
        <v>55982.8269</v>
      </c>
      <c r="O14" s="56">
        <f ca="1">'8'!$W2</f>
        <v>55987.327599999997</v>
      </c>
      <c r="P14" s="56">
        <f ca="1">'9'!$W2</f>
        <v>55980.627799999995</v>
      </c>
      <c r="Q14" s="56">
        <f ca="1">'10'!$W2</f>
        <v>55992.474600000001</v>
      </c>
      <c r="R14" s="56">
        <f ca="1">'11'!$W2</f>
        <v>55974.359299999989</v>
      </c>
      <c r="S14" s="56">
        <f ca="1">'12'!$W2</f>
        <v>55965.895299999996</v>
      </c>
      <c r="T14" s="56">
        <f ca="1">'13'!$W2</f>
        <v>56007.707399999999</v>
      </c>
      <c r="U14" s="56">
        <f ca="1">'14'!$W2</f>
        <v>56017.139100000008</v>
      </c>
      <c r="V14" s="56">
        <f ca="1">'15'!$W2</f>
        <v>55993.6639</v>
      </c>
      <c r="W14" s="56">
        <f ca="1">'16'!$W2</f>
        <v>55973.140600000006</v>
      </c>
      <c r="X14" s="56">
        <f ca="1">'17'!$W2</f>
        <v>56005.574100000005</v>
      </c>
      <c r="Y14" s="56">
        <f ca="1">'18'!$W2</f>
        <v>55985.834399999992</v>
      </c>
      <c r="Z14" s="56">
        <f ca="1">'19'!$W2</f>
        <v>55991.229899999998</v>
      </c>
      <c r="AA14" s="56">
        <f ca="1">'20'!$W2</f>
        <v>55977.440599999994</v>
      </c>
      <c r="AB14" s="56">
        <f ca="1">'21'!$W2</f>
        <v>55978.116500000004</v>
      </c>
      <c r="AC14" s="56">
        <f ca="1">'22'!$W2</f>
        <v>55980.572499999995</v>
      </c>
      <c r="AD14" s="56">
        <f ca="1">'23'!$W2</f>
        <v>55976.387100000007</v>
      </c>
      <c r="AE14" s="56">
        <f ca="1">'24'!$W2</f>
        <v>55986.473699999995</v>
      </c>
      <c r="AF14" s="56">
        <f ca="1">'25'!$W2</f>
        <v>55970.549199999994</v>
      </c>
      <c r="AG14" s="57"/>
    </row>
    <row r="15" spans="1:33" ht="15" x14ac:dyDescent="0.25">
      <c r="A15" s="3" t="s">
        <v>2</v>
      </c>
      <c r="B15" s="3">
        <v>24</v>
      </c>
      <c r="C15" s="3">
        <v>1</v>
      </c>
      <c r="E15">
        <v>64014.469999999987</v>
      </c>
      <c r="F15" s="58">
        <f ca="1">F2/E15</f>
        <v>0.87462922067463833</v>
      </c>
    </row>
    <row r="16" spans="1:33" ht="15" x14ac:dyDescent="0.25">
      <c r="A16" s="3" t="s">
        <v>2</v>
      </c>
      <c r="B16" s="3">
        <v>47</v>
      </c>
      <c r="C16" s="3">
        <v>1</v>
      </c>
      <c r="E16">
        <v>147016.90999999997</v>
      </c>
      <c r="F16" s="58">
        <f t="shared" ref="F16:F22" ca="1" si="27">F3/E16</f>
        <v>0.85895284859408361</v>
      </c>
    </row>
    <row r="17" spans="1:6" ht="15" x14ac:dyDescent="0.25">
      <c r="A17" s="3" t="s">
        <v>2</v>
      </c>
      <c r="B17" s="3">
        <v>100</v>
      </c>
      <c r="C17" s="3">
        <v>1</v>
      </c>
      <c r="E17">
        <v>1366696.1999999997</v>
      </c>
      <c r="F17" s="58">
        <f t="shared" ca="1" si="27"/>
        <v>0.89051891468491684</v>
      </c>
    </row>
    <row r="18" spans="1:6" ht="15" x14ac:dyDescent="0.25">
      <c r="A18" s="3" t="s">
        <v>1</v>
      </c>
      <c r="B18" s="3">
        <v>30</v>
      </c>
      <c r="C18" s="3">
        <v>1</v>
      </c>
      <c r="E18">
        <v>22061.97</v>
      </c>
      <c r="F18" s="58">
        <f t="shared" ca="1" si="27"/>
        <v>0.90721048809331184</v>
      </c>
    </row>
    <row r="19" spans="1:6" ht="15" x14ac:dyDescent="0.25">
      <c r="A19" s="3" t="s">
        <v>1</v>
      </c>
      <c r="B19" s="3">
        <v>50</v>
      </c>
      <c r="C19" s="3">
        <v>1</v>
      </c>
      <c r="E19">
        <v>38974.549999999996</v>
      </c>
      <c r="F19" s="58">
        <f t="shared" ca="1" si="27"/>
        <v>0.90775425358342821</v>
      </c>
    </row>
    <row r="20" spans="1:6" ht="15" x14ac:dyDescent="0.25">
      <c r="A20" s="3" t="s">
        <v>1</v>
      </c>
      <c r="B20" s="3">
        <v>100</v>
      </c>
      <c r="C20" s="3">
        <v>1</v>
      </c>
      <c r="E20">
        <v>71174.579999999987</v>
      </c>
      <c r="F20" s="58">
        <f t="shared" ca="1" si="27"/>
        <v>0.88728467854675086</v>
      </c>
    </row>
    <row r="21" spans="1:6" ht="15" x14ac:dyDescent="0.25">
      <c r="A21" s="3" t="s">
        <v>0</v>
      </c>
      <c r="B21" s="3">
        <v>25</v>
      </c>
      <c r="C21" s="3">
        <v>1</v>
      </c>
      <c r="E21">
        <v>840.37000000000012</v>
      </c>
      <c r="F21" s="58">
        <f t="shared" ca="1" si="27"/>
        <v>0.8609028356557229</v>
      </c>
    </row>
    <row r="22" spans="1:6" ht="15" x14ac:dyDescent="0.25">
      <c r="A22" s="3" t="s">
        <v>0</v>
      </c>
      <c r="B22" s="3">
        <v>50</v>
      </c>
      <c r="C22" s="3">
        <v>1</v>
      </c>
      <c r="E22">
        <v>1747.4900000000002</v>
      </c>
      <c r="F22" s="58">
        <f t="shared" ca="1" si="27"/>
        <v>0.89963827432488863</v>
      </c>
    </row>
    <row r="23" spans="1:6" ht="15" x14ac:dyDescent="0.25">
      <c r="A23" s="3" t="s">
        <v>28</v>
      </c>
      <c r="B23" s="3">
        <v>100</v>
      </c>
      <c r="C23" s="3">
        <v>1</v>
      </c>
      <c r="E23">
        <v>3767.21</v>
      </c>
      <c r="F23" s="58">
        <f ca="1">F10/E23</f>
        <v>0.87760654489662127</v>
      </c>
    </row>
    <row r="24" spans="1:6" x14ac:dyDescent="0.2">
      <c r="F24" s="58">
        <f ca="1">AVERAGE(F15:F23)</f>
        <v>0.88494422878381795</v>
      </c>
    </row>
  </sheetData>
  <phoneticPr fontId="1" type="noConversion"/>
  <conditionalFormatting sqref="H2:AF10">
    <cfRule type="expression" dxfId="0" priority="7">
      <formula>H2=MIN($H2:$AF2)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0"/>
  <sheetViews>
    <sheetView zoomScale="85" zoomScaleNormal="85" workbookViewId="0">
      <selection sqref="A1:F91"/>
    </sheetView>
  </sheetViews>
  <sheetFormatPr defaultColWidth="9" defaultRowHeight="15" x14ac:dyDescent="0.25"/>
  <cols>
    <col min="1" max="1" width="10.125" style="3" customWidth="1"/>
    <col min="2" max="2" width="4.375" style="3" bestFit="1" customWidth="1"/>
    <col min="3" max="3" width="2.625" style="3" bestFit="1" customWidth="1"/>
    <col min="4" max="4" width="9" style="3"/>
    <col min="5" max="5" width="7" style="3" bestFit="1" customWidth="1"/>
    <col min="6" max="6" width="4.375" style="3" bestFit="1" customWidth="1"/>
    <col min="7" max="7" width="2.5" style="3" customWidth="1"/>
    <col min="8" max="8" width="9.75" style="3" customWidth="1"/>
    <col min="9" max="9" width="4.375" style="3" bestFit="1" customWidth="1"/>
    <col min="10" max="10" width="3.125" style="3" bestFit="1" customWidth="1"/>
    <col min="11" max="11" width="2.625" style="3" customWidth="1"/>
    <col min="12" max="21" width="9" style="3"/>
    <col min="22" max="22" width="3.25" style="3" customWidth="1"/>
    <col min="23" max="23" width="9" style="3"/>
    <col min="24" max="24" width="2.5" style="3" customWidth="1"/>
    <col min="25" max="25" width="9" style="3"/>
    <col min="26" max="26" width="2.625" style="3" customWidth="1"/>
    <col min="27" max="27" width="2.5" style="3" customWidth="1"/>
    <col min="28" max="37" width="9" style="3"/>
    <col min="38" max="38" width="5.625" style="3" customWidth="1"/>
    <col min="39" max="16384" width="9" style="3"/>
  </cols>
  <sheetData>
    <row r="1" spans="1:39" x14ac:dyDescent="0.25">
      <c r="A1" s="3" t="s">
        <v>2</v>
      </c>
      <c r="B1" s="3">
        <v>24</v>
      </c>
      <c r="C1" s="3">
        <v>1</v>
      </c>
      <c r="D1" s="3">
        <v>55959.858999999997</v>
      </c>
      <c r="E1" s="3">
        <v>1.2370000000000001</v>
      </c>
      <c r="F1" s="3">
        <v>210</v>
      </c>
      <c r="H1" s="5" t="s">
        <v>13</v>
      </c>
      <c r="I1" s="5" t="s">
        <v>14</v>
      </c>
      <c r="J1" s="5" t="s">
        <v>10</v>
      </c>
      <c r="K1" s="2"/>
      <c r="L1" s="2">
        <v>1</v>
      </c>
      <c r="M1" s="2">
        <v>2</v>
      </c>
      <c r="N1" s="2">
        <v>3</v>
      </c>
      <c r="O1" s="2">
        <v>4</v>
      </c>
      <c r="P1" s="2">
        <v>5</v>
      </c>
      <c r="Q1" s="2">
        <v>6</v>
      </c>
      <c r="R1" s="2">
        <v>7</v>
      </c>
      <c r="S1" s="2">
        <v>8</v>
      </c>
      <c r="T1" s="2">
        <v>9</v>
      </c>
      <c r="U1" s="2">
        <v>10</v>
      </c>
      <c r="W1" s="2" t="s">
        <v>11</v>
      </c>
      <c r="X1" s="2"/>
      <c r="Y1" s="2" t="s">
        <v>9</v>
      </c>
      <c r="Z1" s="2"/>
      <c r="AM1" s="5" t="s">
        <v>12</v>
      </c>
    </row>
    <row r="2" spans="1:39" x14ac:dyDescent="0.25">
      <c r="A2" s="3" t="s">
        <v>2</v>
      </c>
      <c r="B2" s="3">
        <v>24</v>
      </c>
      <c r="C2" s="3">
        <v>1</v>
      </c>
      <c r="D2" s="3">
        <v>55975.133999999998</v>
      </c>
      <c r="E2" s="3">
        <v>1.282</v>
      </c>
      <c r="F2" s="3">
        <v>280</v>
      </c>
      <c r="H2" s="3" t="s">
        <v>2</v>
      </c>
      <c r="I2" s="3">
        <v>24</v>
      </c>
      <c r="J2" s="3">
        <v>1</v>
      </c>
      <c r="L2" s="3">
        <f ca="1">INDIRECT("D"&amp;1+(ROW(D1)-1)*10+COLUMN(A1)-1)</f>
        <v>55959.858999999997</v>
      </c>
      <c r="M2" s="3">
        <f t="shared" ref="M2:U10" ca="1" si="0">INDIRECT("D"&amp;1+(ROW(E1)-1)*10+COLUMN(B1)-1)</f>
        <v>55975.133999999998</v>
      </c>
      <c r="N2" s="3">
        <f t="shared" ca="1" si="0"/>
        <v>55991.737000000001</v>
      </c>
      <c r="O2" s="3">
        <f t="shared" ca="1" si="0"/>
        <v>55961.714999999997</v>
      </c>
      <c r="P2" s="3">
        <f t="shared" ca="1" si="0"/>
        <v>55973.741000000002</v>
      </c>
      <c r="Q2" s="3">
        <f t="shared" ca="1" si="0"/>
        <v>55948.906000000003</v>
      </c>
      <c r="R2" s="3">
        <f t="shared" ca="1" si="0"/>
        <v>55968.243999999999</v>
      </c>
      <c r="S2" s="3">
        <f t="shared" ca="1" si="0"/>
        <v>55960.228999999999</v>
      </c>
      <c r="T2" s="3">
        <f t="shared" ca="1" si="0"/>
        <v>55966.379000000001</v>
      </c>
      <c r="U2" s="3">
        <f t="shared" ca="1" si="0"/>
        <v>55948.713000000003</v>
      </c>
      <c r="W2" s="3">
        <f ca="1">AVERAGE(L2:U2)</f>
        <v>55965.465700000001</v>
      </c>
      <c r="Y2" s="3">
        <f ca="1">Total!E2</f>
        <v>55722.476000000002</v>
      </c>
      <c r="AB2" s="3">
        <f ca="1">(L2-$Y2)/$Y2</f>
        <v>4.2600942571179778E-3</v>
      </c>
      <c r="AC2" s="3">
        <f t="shared" ref="AB2:AK10" ca="1" si="1">(M2-$Y2)/$Y2</f>
        <v>4.5342206258026973E-3</v>
      </c>
      <c r="AD2" s="3">
        <f t="shared" ca="1" si="1"/>
        <v>4.8321793884392103E-3</v>
      </c>
      <c r="AE2" s="3">
        <f t="shared" ca="1" si="1"/>
        <v>4.2934021811951448E-3</v>
      </c>
      <c r="AF2" s="3">
        <f t="shared" ca="1" si="1"/>
        <v>4.5092217366651012E-3</v>
      </c>
      <c r="AG2" s="3">
        <f t="shared" ca="1" si="1"/>
        <v>4.063530845255338E-3</v>
      </c>
      <c r="AH2" s="3">
        <f t="shared" ca="1" si="1"/>
        <v>4.410572136098123E-3</v>
      </c>
      <c r="AI2" s="3">
        <f t="shared" ca="1" si="1"/>
        <v>4.2667343066377199E-3</v>
      </c>
      <c r="AJ2" s="3">
        <f t="shared" ca="1" si="1"/>
        <v>4.3771026973029419E-3</v>
      </c>
      <c r="AK2" s="3">
        <f t="shared" ca="1" si="1"/>
        <v>4.0600672518572396E-3</v>
      </c>
      <c r="AM2" s="3">
        <f ca="1">SUM(AB2:AK2)</f>
        <v>4.3607125426371497E-2</v>
      </c>
    </row>
    <row r="3" spans="1:39" x14ac:dyDescent="0.25">
      <c r="A3" s="3" t="s">
        <v>2</v>
      </c>
      <c r="B3" s="3">
        <v>24</v>
      </c>
      <c r="C3" s="3">
        <v>1</v>
      </c>
      <c r="D3" s="3">
        <v>55991.737000000001</v>
      </c>
      <c r="E3" s="3">
        <v>1.236</v>
      </c>
      <c r="F3" s="3">
        <v>260</v>
      </c>
      <c r="H3" s="3" t="s">
        <v>2</v>
      </c>
      <c r="I3" s="3">
        <v>47</v>
      </c>
      <c r="J3" s="3">
        <v>1</v>
      </c>
      <c r="L3" s="3">
        <f t="shared" ref="L3:L10" ca="1" si="2">INDIRECT("D"&amp;1+(ROW(D2)-1)*10+COLUMN(A2)-1)</f>
        <v>126498.02099999999</v>
      </c>
      <c r="M3" s="3">
        <f t="shared" ca="1" si="0"/>
        <v>126201.143</v>
      </c>
      <c r="N3" s="3">
        <f t="shared" ca="1" si="0"/>
        <v>126243.174</v>
      </c>
      <c r="O3" s="3">
        <f t="shared" ca="1" si="0"/>
        <v>126325.148</v>
      </c>
      <c r="P3" s="3">
        <f t="shared" ca="1" si="0"/>
        <v>126288.639</v>
      </c>
      <c r="Q3" s="3">
        <f t="shared" ca="1" si="0"/>
        <v>126184.844</v>
      </c>
      <c r="R3" s="3">
        <f t="shared" ca="1" si="0"/>
        <v>126239.867</v>
      </c>
      <c r="S3" s="3">
        <f t="shared" ca="1" si="0"/>
        <v>126360.697</v>
      </c>
      <c r="T3" s="3">
        <f t="shared" ca="1" si="0"/>
        <v>126234.99800000001</v>
      </c>
      <c r="U3" s="3">
        <f t="shared" ca="1" si="0"/>
        <v>126261.36900000001</v>
      </c>
      <c r="W3" s="3">
        <f t="shared" ref="W3:W10" ca="1" si="3">AVERAGE(L3:U3)</f>
        <v>126283.79</v>
      </c>
      <c r="Y3" s="3">
        <f ca="1">Total!E3</f>
        <v>126021.209</v>
      </c>
      <c r="AB3" s="3">
        <f t="shared" ca="1" si="1"/>
        <v>3.7835853487169038E-3</v>
      </c>
      <c r="AC3" s="3">
        <f t="shared" ca="1" si="1"/>
        <v>1.4278072828200991E-3</v>
      </c>
      <c r="AD3" s="3">
        <f t="shared" ca="1" si="1"/>
        <v>1.7613305074703457E-3</v>
      </c>
      <c r="AE3" s="3">
        <f t="shared" ca="1" si="1"/>
        <v>2.4118083171222274E-3</v>
      </c>
      <c r="AF3" s="3">
        <f t="shared" ca="1" si="1"/>
        <v>2.1221031136115587E-3</v>
      </c>
      <c r="AG3" s="3">
        <f t="shared" ca="1" si="1"/>
        <v>1.2984719103908515E-3</v>
      </c>
      <c r="AH3" s="3">
        <f t="shared" ca="1" si="1"/>
        <v>1.735088892854502E-3</v>
      </c>
      <c r="AI3" s="3">
        <f t="shared" ca="1" si="1"/>
        <v>2.6938957552771737E-3</v>
      </c>
      <c r="AJ3" s="3">
        <f t="shared" ca="1" si="1"/>
        <v>1.6964525391912745E-3</v>
      </c>
      <c r="AK3" s="3">
        <f t="shared" ca="1" si="1"/>
        <v>1.905710966477107E-3</v>
      </c>
      <c r="AM3" s="3">
        <f t="shared" ref="AM3:AM10" ca="1" si="4">SUM(AB3:AK3)</f>
        <v>2.0836254633932044E-2</v>
      </c>
    </row>
    <row r="4" spans="1:39" x14ac:dyDescent="0.25">
      <c r="A4" s="3" t="s">
        <v>2</v>
      </c>
      <c r="B4" s="3">
        <v>24</v>
      </c>
      <c r="C4" s="3">
        <v>1</v>
      </c>
      <c r="D4" s="3">
        <v>55961.714999999997</v>
      </c>
      <c r="E4" s="3">
        <v>1.236</v>
      </c>
      <c r="F4" s="3">
        <v>262</v>
      </c>
      <c r="H4" s="3" t="s">
        <v>2</v>
      </c>
      <c r="I4" s="3">
        <v>100</v>
      </c>
      <c r="J4" s="3">
        <v>1</v>
      </c>
      <c r="L4" s="3">
        <f t="shared" ca="1" si="2"/>
        <v>1216851.4180000001</v>
      </c>
      <c r="M4" s="3">
        <f t="shared" ca="1" si="0"/>
        <v>1216892.2339999999</v>
      </c>
      <c r="N4" s="3">
        <f t="shared" ca="1" si="0"/>
        <v>1216630.794</v>
      </c>
      <c r="O4" s="3">
        <f t="shared" ca="1" si="0"/>
        <v>1216725.97</v>
      </c>
      <c r="P4" s="3">
        <f t="shared" ca="1" si="0"/>
        <v>1216781.206</v>
      </c>
      <c r="Q4" s="3">
        <f t="shared" ca="1" si="0"/>
        <v>1217100.3230000001</v>
      </c>
      <c r="R4" s="3">
        <f t="shared" ca="1" si="0"/>
        <v>1216973.9439999999</v>
      </c>
      <c r="S4" s="3">
        <f t="shared" ca="1" si="0"/>
        <v>1217121.149</v>
      </c>
      <c r="T4" s="3">
        <f t="shared" ca="1" si="0"/>
        <v>1217430.838</v>
      </c>
      <c r="U4" s="3">
        <f t="shared" ca="1" si="0"/>
        <v>1217402.557</v>
      </c>
      <c r="W4" s="3">
        <f t="shared" ca="1" si="3"/>
        <v>1216991.0432999998</v>
      </c>
      <c r="Y4" s="3">
        <f ca="1">Total!E4</f>
        <v>1216556.6340000001</v>
      </c>
      <c r="AB4" s="3">
        <f t="shared" ca="1" si="1"/>
        <v>2.423101331754236E-4</v>
      </c>
      <c r="AC4" s="3">
        <f t="shared" ca="1" si="1"/>
        <v>2.7586056466308355E-4</v>
      </c>
      <c r="AD4" s="3">
        <f t="shared" ca="1" si="1"/>
        <v>6.0958937650177799E-5</v>
      </c>
      <c r="AE4" s="3">
        <f t="shared" ca="1" si="1"/>
        <v>1.3919286226989891E-4</v>
      </c>
      <c r="AF4" s="3">
        <f t="shared" ca="1" si="1"/>
        <v>1.8459642052301475E-4</v>
      </c>
      <c r="AG4" s="3">
        <f t="shared" ca="1" si="1"/>
        <v>4.4690808862089771E-4</v>
      </c>
      <c r="AH4" s="3">
        <f t="shared" ca="1" si="1"/>
        <v>3.430255430260742E-4</v>
      </c>
      <c r="AI4" s="3">
        <f t="shared" ca="1" si="1"/>
        <v>4.6402689708229195E-4</v>
      </c>
      <c r="AJ4" s="3">
        <f t="shared" ca="1" si="1"/>
        <v>7.1858882321454713E-4</v>
      </c>
      <c r="AK4" s="3">
        <f t="shared" ca="1" si="1"/>
        <v>6.9534206329431884E-4</v>
      </c>
      <c r="AM4" s="3">
        <f t="shared" ca="1" si="4"/>
        <v>3.5708103335197285E-3</v>
      </c>
    </row>
    <row r="5" spans="1:39" x14ac:dyDescent="0.25">
      <c r="A5" s="3" t="s">
        <v>2</v>
      </c>
      <c r="B5" s="3">
        <v>24</v>
      </c>
      <c r="C5" s="3">
        <v>1</v>
      </c>
      <c r="D5" s="3">
        <v>55973.741000000002</v>
      </c>
      <c r="E5" s="3">
        <v>1.2370000000000001</v>
      </c>
      <c r="F5" s="3">
        <v>291</v>
      </c>
      <c r="H5" s="3" t="s">
        <v>1</v>
      </c>
      <c r="I5" s="3">
        <v>30</v>
      </c>
      <c r="J5" s="3">
        <v>1</v>
      </c>
      <c r="L5" s="3">
        <f t="shared" ca="1" si="2"/>
        <v>19974.418000000001</v>
      </c>
      <c r="M5" s="3">
        <f t="shared" ca="1" si="0"/>
        <v>20023.669999999998</v>
      </c>
      <c r="N5" s="3">
        <f t="shared" ca="1" si="0"/>
        <v>20091.305</v>
      </c>
      <c r="O5" s="3">
        <f t="shared" ca="1" si="0"/>
        <v>19982.957999999999</v>
      </c>
      <c r="P5" s="3">
        <f t="shared" ca="1" si="0"/>
        <v>20004.457999999999</v>
      </c>
      <c r="Q5" s="3">
        <f t="shared" ca="1" si="0"/>
        <v>20028.990000000002</v>
      </c>
      <c r="R5" s="3">
        <f t="shared" ca="1" si="0"/>
        <v>20025.240000000002</v>
      </c>
      <c r="S5" s="3">
        <f t="shared" ca="1" si="0"/>
        <v>19994.678</v>
      </c>
      <c r="T5" s="3">
        <f t="shared" ca="1" si="0"/>
        <v>19978.725999999999</v>
      </c>
      <c r="U5" s="3">
        <f t="shared" ca="1" si="0"/>
        <v>20004.556</v>
      </c>
      <c r="W5" s="3">
        <f t="shared" ca="1" si="3"/>
        <v>20010.8999</v>
      </c>
      <c r="Y5" s="3">
        <f ca="1">Total!E5</f>
        <v>19969.536</v>
      </c>
      <c r="AB5" s="3">
        <f t="shared" ca="1" si="1"/>
        <v>2.4447238032978966E-4</v>
      </c>
      <c r="AC5" s="3">
        <f t="shared" ca="1" si="1"/>
        <v>2.7108291349382477E-3</v>
      </c>
      <c r="AD5" s="3">
        <f t="shared" ca="1" si="1"/>
        <v>6.0977380746352963E-3</v>
      </c>
      <c r="AE5" s="3">
        <f t="shared" ca="1" si="1"/>
        <v>6.7212377894001454E-4</v>
      </c>
      <c r="AF5" s="3">
        <f t="shared" ca="1" si="1"/>
        <v>1.7487637168935052E-3</v>
      </c>
      <c r="AG5" s="3">
        <f t="shared" ca="1" si="1"/>
        <v>2.9772349242366742E-3</v>
      </c>
      <c r="AH5" s="3">
        <f t="shared" ca="1" si="1"/>
        <v>2.7894488885471121E-3</v>
      </c>
      <c r="AI5" s="3">
        <f t="shared" ca="1" si="1"/>
        <v>1.2590177358151849E-3</v>
      </c>
      <c r="AJ5" s="3">
        <f t="shared" ca="1" si="1"/>
        <v>4.6020097812982184E-4</v>
      </c>
      <c r="AK5" s="3">
        <f t="shared" ca="1" si="1"/>
        <v>1.7536711919596147E-3</v>
      </c>
      <c r="AM5" s="3">
        <f t="shared" ca="1" si="4"/>
        <v>2.0713500804425258E-2</v>
      </c>
    </row>
    <row r="6" spans="1:39" x14ac:dyDescent="0.25">
      <c r="A6" s="3" t="s">
        <v>2</v>
      </c>
      <c r="B6" s="3">
        <v>24</v>
      </c>
      <c r="C6" s="3">
        <v>1</v>
      </c>
      <c r="D6" s="3">
        <v>55948.906000000003</v>
      </c>
      <c r="E6" s="3">
        <v>1.236</v>
      </c>
      <c r="F6" s="3">
        <v>281</v>
      </c>
      <c r="H6" s="3" t="s">
        <v>1</v>
      </c>
      <c r="I6" s="3">
        <v>50</v>
      </c>
      <c r="J6" s="3">
        <v>1</v>
      </c>
      <c r="L6" s="3">
        <f t="shared" ca="1" si="2"/>
        <v>35404.548999999999</v>
      </c>
      <c r="M6" s="3">
        <f t="shared" ca="1" si="0"/>
        <v>35391.707000000002</v>
      </c>
      <c r="N6" s="3">
        <f t="shared" ca="1" si="0"/>
        <v>35363.504000000001</v>
      </c>
      <c r="O6" s="3">
        <f t="shared" ca="1" si="0"/>
        <v>35346.514999999999</v>
      </c>
      <c r="P6" s="3">
        <f t="shared" ca="1" si="0"/>
        <v>35433.247000000003</v>
      </c>
      <c r="Q6" s="3">
        <f t="shared" ca="1" si="0"/>
        <v>35393.027000000002</v>
      </c>
      <c r="R6" s="3">
        <f t="shared" ca="1" si="0"/>
        <v>35389.696000000004</v>
      </c>
      <c r="S6" s="3">
        <f t="shared" ca="1" si="0"/>
        <v>35430.226999999999</v>
      </c>
      <c r="T6" s="3">
        <f t="shared" ca="1" si="0"/>
        <v>35332.711000000003</v>
      </c>
      <c r="U6" s="3">
        <f t="shared" ca="1" si="0"/>
        <v>35333.373</v>
      </c>
      <c r="W6" s="3">
        <f t="shared" ca="1" si="3"/>
        <v>35381.855600000003</v>
      </c>
      <c r="Y6" s="3">
        <f ca="1">Total!E6</f>
        <v>35277.981</v>
      </c>
      <c r="AB6" s="3">
        <f t="shared" ca="1" si="1"/>
        <v>3.5877336631027525E-3</v>
      </c>
      <c r="AC6" s="3">
        <f t="shared" ca="1" si="1"/>
        <v>3.2237105632548072E-3</v>
      </c>
      <c r="AD6" s="3">
        <f t="shared" ca="1" si="1"/>
        <v>2.4242600504830775E-3</v>
      </c>
      <c r="AE6" s="3">
        <f t="shared" ca="1" si="1"/>
        <v>1.9426848719035154E-3</v>
      </c>
      <c r="AF6" s="3">
        <f t="shared" ca="1" si="1"/>
        <v>4.4012155911077582E-3</v>
      </c>
      <c r="AG6" s="3">
        <f t="shared" ca="1" si="1"/>
        <v>3.261127670543337E-3</v>
      </c>
      <c r="AH6" s="3">
        <f t="shared" ca="1" si="1"/>
        <v>3.1667061672266275E-3</v>
      </c>
      <c r="AI6" s="3">
        <f t="shared" ca="1" si="1"/>
        <v>4.3156097850384125E-3</v>
      </c>
      <c r="AJ6" s="3">
        <f t="shared" ca="1" si="1"/>
        <v>1.5513926378043915E-3</v>
      </c>
      <c r="AK6" s="3">
        <f t="shared" ca="1" si="1"/>
        <v>1.5701578840353655E-3</v>
      </c>
      <c r="AM6" s="3">
        <f t="shared" ca="1" si="4"/>
        <v>2.9444598884500042E-2</v>
      </c>
    </row>
    <row r="7" spans="1:39" x14ac:dyDescent="0.25">
      <c r="A7" s="3" t="s">
        <v>2</v>
      </c>
      <c r="B7" s="3">
        <v>24</v>
      </c>
      <c r="C7" s="3">
        <v>1</v>
      </c>
      <c r="D7" s="3">
        <v>55968.243999999999</v>
      </c>
      <c r="E7" s="3">
        <v>1.238</v>
      </c>
      <c r="F7" s="3">
        <v>264</v>
      </c>
      <c r="H7" s="3" t="s">
        <v>1</v>
      </c>
      <c r="I7" s="3">
        <v>100</v>
      </c>
      <c r="J7" s="3">
        <v>1</v>
      </c>
      <c r="L7" s="3">
        <f t="shared" ca="1" si="2"/>
        <v>63053.508000000002</v>
      </c>
      <c r="M7" s="3">
        <f t="shared" ca="1" si="0"/>
        <v>63108.741999999998</v>
      </c>
      <c r="N7" s="3">
        <f t="shared" ca="1" si="0"/>
        <v>63100.053</v>
      </c>
      <c r="O7" s="3">
        <f t="shared" ca="1" si="0"/>
        <v>63176.983999999997</v>
      </c>
      <c r="P7" s="3">
        <f t="shared" ca="1" si="0"/>
        <v>63092.436000000002</v>
      </c>
      <c r="Q7" s="3">
        <f t="shared" ca="1" si="0"/>
        <v>63092.133000000002</v>
      </c>
      <c r="R7" s="3">
        <f t="shared" ca="1" si="0"/>
        <v>63124.048999999999</v>
      </c>
      <c r="S7" s="3">
        <f t="shared" ca="1" si="0"/>
        <v>63135.440999999999</v>
      </c>
      <c r="T7" s="3">
        <f t="shared" ca="1" si="0"/>
        <v>63190.68</v>
      </c>
      <c r="U7" s="3">
        <f t="shared" ca="1" si="0"/>
        <v>63164.175000000003</v>
      </c>
      <c r="W7" s="3">
        <f t="shared" ca="1" si="3"/>
        <v>63123.820100000012</v>
      </c>
      <c r="Y7" s="3">
        <f ca="1">Total!E7</f>
        <v>63035.512000000002</v>
      </c>
      <c r="AB7" s="3">
        <f t="shared" ca="1" si="1"/>
        <v>2.8548986799693457E-4</v>
      </c>
      <c r="AC7" s="3">
        <f t="shared" ca="1" si="1"/>
        <v>1.1617261076581073E-3</v>
      </c>
      <c r="AD7" s="3">
        <f t="shared" ca="1" si="1"/>
        <v>1.023883172393324E-3</v>
      </c>
      <c r="AE7" s="3">
        <f t="shared" ca="1" si="1"/>
        <v>2.2443222163404382E-3</v>
      </c>
      <c r="AF7" s="3">
        <f t="shared" ca="1" si="1"/>
        <v>9.0304652399744235E-4</v>
      </c>
      <c r="AG7" s="3">
        <f t="shared" ca="1" si="1"/>
        <v>8.9823970970520845E-4</v>
      </c>
      <c r="AH7" s="3">
        <f t="shared" ca="1" si="1"/>
        <v>1.40455748182067E-3</v>
      </c>
      <c r="AI7" s="3">
        <f t="shared" ca="1" si="1"/>
        <v>1.5852810079498751E-3</v>
      </c>
      <c r="AJ7" s="3">
        <f t="shared" ca="1" si="1"/>
        <v>2.4615965679789806E-3</v>
      </c>
      <c r="AK7" s="3">
        <f t="shared" ca="1" si="1"/>
        <v>2.0411192979601792E-3</v>
      </c>
      <c r="AM7" s="3">
        <f t="shared" ca="1" si="4"/>
        <v>1.4009261953801158E-2</v>
      </c>
    </row>
    <row r="8" spans="1:39" x14ac:dyDescent="0.25">
      <c r="A8" s="3" t="s">
        <v>2</v>
      </c>
      <c r="B8" s="3">
        <v>24</v>
      </c>
      <c r="C8" s="3">
        <v>1</v>
      </c>
      <c r="D8" s="3">
        <v>55960.228999999999</v>
      </c>
      <c r="E8" s="3">
        <v>1.238</v>
      </c>
      <c r="F8" s="3">
        <v>294</v>
      </c>
      <c r="H8" s="3" t="s">
        <v>0</v>
      </c>
      <c r="I8" s="3">
        <v>25</v>
      </c>
      <c r="J8" s="3">
        <v>1</v>
      </c>
      <c r="L8" s="3">
        <f t="shared" ca="1" si="2"/>
        <v>723.47400000000005</v>
      </c>
      <c r="M8" s="3">
        <f t="shared" ca="1" si="0"/>
        <v>723.78399999999999</v>
      </c>
      <c r="N8" s="3">
        <f t="shared" ca="1" si="0"/>
        <v>723.77800000000002</v>
      </c>
      <c r="O8" s="3">
        <f t="shared" ca="1" si="0"/>
        <v>723.83</v>
      </c>
      <c r="P8" s="3">
        <f t="shared" ca="1" si="0"/>
        <v>723.98299999999995</v>
      </c>
      <c r="Q8" s="3">
        <f t="shared" ca="1" si="0"/>
        <v>722.96699999999998</v>
      </c>
      <c r="R8" s="3">
        <f t="shared" ca="1" si="0"/>
        <v>723.97799999999995</v>
      </c>
      <c r="S8" s="3">
        <f t="shared" ca="1" si="0"/>
        <v>723.06500000000005</v>
      </c>
      <c r="T8" s="3">
        <f t="shared" ca="1" si="0"/>
        <v>723.40700000000004</v>
      </c>
      <c r="U8" s="3">
        <f t="shared" ca="1" si="0"/>
        <v>723.19600000000003</v>
      </c>
      <c r="W8" s="3">
        <f t="shared" ca="1" si="3"/>
        <v>723.5462</v>
      </c>
      <c r="Y8" s="3">
        <f ca="1">Total!E8</f>
        <v>722.92</v>
      </c>
      <c r="AB8" s="3">
        <f t="shared" ca="1" si="1"/>
        <v>7.6633652409683966E-4</v>
      </c>
      <c r="AC8" s="3">
        <f t="shared" ca="1" si="1"/>
        <v>1.1951529906490798E-3</v>
      </c>
      <c r="AD8" s="3">
        <f t="shared" ca="1" si="1"/>
        <v>1.1868533171029449E-3</v>
      </c>
      <c r="AE8" s="3">
        <f t="shared" ca="1" si="1"/>
        <v>1.2587838211698139E-3</v>
      </c>
      <c r="AF8" s="3">
        <f t="shared" ca="1" si="1"/>
        <v>1.4704254965971176E-3</v>
      </c>
      <c r="AG8" s="3">
        <f t="shared" ca="1" si="1"/>
        <v>6.5014109445063727E-5</v>
      </c>
      <c r="AH8" s="3">
        <f t="shared" ca="1" si="1"/>
        <v>1.4635091019753123E-3</v>
      </c>
      <c r="AI8" s="3">
        <f t="shared" ca="1" si="1"/>
        <v>2.0057544403266682E-4</v>
      </c>
      <c r="AJ8" s="3">
        <f t="shared" ca="1" si="1"/>
        <v>6.7365683616455493E-4</v>
      </c>
      <c r="AK8" s="3">
        <f t="shared" ca="1" si="1"/>
        <v>3.8178498312409025E-4</v>
      </c>
      <c r="AM8" s="3">
        <f t="shared" ca="1" si="4"/>
        <v>8.6620926243574838E-3</v>
      </c>
    </row>
    <row r="9" spans="1:39" x14ac:dyDescent="0.25">
      <c r="A9" s="3" t="s">
        <v>2</v>
      </c>
      <c r="B9" s="3">
        <v>24</v>
      </c>
      <c r="C9" s="3">
        <v>1</v>
      </c>
      <c r="D9" s="3">
        <v>55966.379000000001</v>
      </c>
      <c r="E9" s="3">
        <v>1.236</v>
      </c>
      <c r="F9" s="3">
        <v>284</v>
      </c>
      <c r="H9" s="3" t="s">
        <v>0</v>
      </c>
      <c r="I9" s="3">
        <v>50</v>
      </c>
      <c r="J9" s="3">
        <v>1</v>
      </c>
      <c r="L9" s="3">
        <f t="shared" ca="1" si="2"/>
        <v>1572.4949999999999</v>
      </c>
      <c r="M9" s="3">
        <f t="shared" ca="1" si="0"/>
        <v>1571.884</v>
      </c>
      <c r="N9" s="3">
        <f t="shared" ca="1" si="0"/>
        <v>1572.5250000000001</v>
      </c>
      <c r="O9" s="3">
        <f t="shared" ca="1" si="0"/>
        <v>1572.4269999999999</v>
      </c>
      <c r="P9" s="3">
        <f t="shared" ca="1" si="0"/>
        <v>1571.742</v>
      </c>
      <c r="Q9" s="3">
        <f t="shared" ca="1" si="0"/>
        <v>1573.5730000000001</v>
      </c>
      <c r="R9" s="3">
        <f t="shared" ca="1" si="0"/>
        <v>1573.742</v>
      </c>
      <c r="S9" s="3">
        <f t="shared" ca="1" si="0"/>
        <v>1572.1110000000001</v>
      </c>
      <c r="T9" s="3">
        <f t="shared" ca="1" si="0"/>
        <v>1572.742</v>
      </c>
      <c r="U9" s="3">
        <f t="shared" ca="1" si="0"/>
        <v>1572.759</v>
      </c>
      <c r="W9" s="3">
        <f t="shared" ca="1" si="3"/>
        <v>1572.6000000000001</v>
      </c>
      <c r="Y9" s="3">
        <f ca="1">Total!E9</f>
        <v>1570.17</v>
      </c>
      <c r="AB9" s="3">
        <f t="shared" ca="1" si="1"/>
        <v>1.480731385773399E-3</v>
      </c>
      <c r="AC9" s="3">
        <f t="shared" ca="1" si="1"/>
        <v>1.0916015463293411E-3</v>
      </c>
      <c r="AD9" s="3">
        <f t="shared" ca="1" si="1"/>
        <v>1.4998375972028622E-3</v>
      </c>
      <c r="AE9" s="3">
        <f t="shared" ca="1" si="1"/>
        <v>1.4374239732002486E-3</v>
      </c>
      <c r="AF9" s="3">
        <f t="shared" ca="1" si="1"/>
        <v>1.0011654788971188E-3</v>
      </c>
      <c r="AG9" s="3">
        <f t="shared" ca="1" si="1"/>
        <v>2.1672812498009894E-3</v>
      </c>
      <c r="AH9" s="3">
        <f t="shared" ca="1" si="1"/>
        <v>2.2749129075194971E-3</v>
      </c>
      <c r="AI9" s="3">
        <f t="shared" ca="1" si="1"/>
        <v>1.236171879478038E-3</v>
      </c>
      <c r="AJ9" s="3">
        <f t="shared" ca="1" si="1"/>
        <v>1.6380391932083081E-3</v>
      </c>
      <c r="AK9" s="3">
        <f t="shared" ca="1" si="1"/>
        <v>1.6488660463516319E-3</v>
      </c>
      <c r="AM9" s="3">
        <f t="shared" ca="1" si="4"/>
        <v>1.5476031257761435E-2</v>
      </c>
    </row>
    <row r="10" spans="1:39" x14ac:dyDescent="0.25">
      <c r="A10" s="3" t="s">
        <v>2</v>
      </c>
      <c r="B10" s="3">
        <v>24</v>
      </c>
      <c r="C10" s="3">
        <v>1</v>
      </c>
      <c r="D10" s="3">
        <v>55948.713000000003</v>
      </c>
      <c r="E10" s="3">
        <v>1.2370000000000001</v>
      </c>
      <c r="F10" s="3">
        <v>295</v>
      </c>
      <c r="H10" s="3" t="s">
        <v>28</v>
      </c>
      <c r="I10" s="3">
        <v>100</v>
      </c>
      <c r="J10" s="3">
        <v>1</v>
      </c>
      <c r="L10" s="3">
        <f t="shared" ca="1" si="2"/>
        <v>3319.0070000000001</v>
      </c>
      <c r="M10" s="3">
        <f t="shared" ca="1" si="0"/>
        <v>3314.779</v>
      </c>
      <c r="N10" s="3">
        <f t="shared" ca="1" si="0"/>
        <v>3323.1309999999999</v>
      </c>
      <c r="O10" s="3">
        <f t="shared" ca="1" si="0"/>
        <v>3298.4290000000001</v>
      </c>
      <c r="P10" s="3">
        <f t="shared" ca="1" si="0"/>
        <v>3324.538</v>
      </c>
      <c r="Q10" s="3">
        <f t="shared" ca="1" si="0"/>
        <v>3317.578</v>
      </c>
      <c r="R10" s="3">
        <f t="shared" ca="1" si="0"/>
        <v>3310.6260000000002</v>
      </c>
      <c r="S10" s="3">
        <f t="shared" ca="1" si="0"/>
        <v>3321.9279999999999</v>
      </c>
      <c r="T10" s="3">
        <f t="shared" ca="1" si="0"/>
        <v>3316.1080000000002</v>
      </c>
      <c r="U10" s="3">
        <f t="shared" ca="1" si="0"/>
        <v>3311.759</v>
      </c>
      <c r="W10" s="3">
        <f t="shared" ca="1" si="3"/>
        <v>3315.7883000000002</v>
      </c>
      <c r="Y10" s="3">
        <f ca="1">Total!E10</f>
        <v>3290.5340000000001</v>
      </c>
      <c r="AB10" s="3">
        <f t="shared" ca="1" si="1"/>
        <v>8.6530028256811675E-3</v>
      </c>
      <c r="AC10" s="3">
        <f t="shared" ca="1" si="1"/>
        <v>7.3681049945084568E-3</v>
      </c>
      <c r="AD10" s="3">
        <f t="shared" ca="1" si="1"/>
        <v>9.9062948445449127E-3</v>
      </c>
      <c r="AE10" s="3">
        <f t="shared" ca="1" si="1"/>
        <v>2.3993066171022642E-3</v>
      </c>
      <c r="AF10" s="3">
        <f t="shared" ca="1" si="1"/>
        <v>1.0333885016839184E-2</v>
      </c>
      <c r="AG10" s="3">
        <f t="shared" ca="1" si="1"/>
        <v>8.2187268084754229E-3</v>
      </c>
      <c r="AH10" s="3">
        <f t="shared" ca="1" si="1"/>
        <v>6.1059998164431969E-3</v>
      </c>
      <c r="AI10" s="3">
        <f t="shared" ca="1" si="1"/>
        <v>9.5407006887027381E-3</v>
      </c>
      <c r="AJ10" s="3">
        <f t="shared" ca="1" si="1"/>
        <v>7.771990807571072E-3</v>
      </c>
      <c r="AK10" s="3">
        <f t="shared" ca="1" si="1"/>
        <v>6.4503208293851116E-3</v>
      </c>
      <c r="AM10" s="3">
        <f t="shared" ca="1" si="4"/>
        <v>7.6748333249253523E-2</v>
      </c>
    </row>
    <row r="11" spans="1:39" x14ac:dyDescent="0.25">
      <c r="A11" s="3" t="s">
        <v>2</v>
      </c>
      <c r="B11" s="3">
        <v>47</v>
      </c>
      <c r="C11" s="3">
        <v>1</v>
      </c>
      <c r="D11" s="3">
        <v>126498.02099999999</v>
      </c>
      <c r="E11" s="3">
        <v>4.149</v>
      </c>
      <c r="F11" s="3">
        <v>296</v>
      </c>
    </row>
    <row r="12" spans="1:39" x14ac:dyDescent="0.25">
      <c r="A12" s="3" t="s">
        <v>2</v>
      </c>
      <c r="B12" s="3">
        <v>47</v>
      </c>
      <c r="C12" s="3">
        <v>1</v>
      </c>
      <c r="D12" s="3">
        <v>126201.143</v>
      </c>
      <c r="E12" s="3">
        <v>4.1459999999999999</v>
      </c>
      <c r="F12" s="3">
        <v>296</v>
      </c>
    </row>
    <row r="13" spans="1:39" x14ac:dyDescent="0.25">
      <c r="A13" s="3" t="s">
        <v>2</v>
      </c>
      <c r="B13" s="3">
        <v>47</v>
      </c>
      <c r="C13" s="3">
        <v>1</v>
      </c>
      <c r="D13" s="3">
        <v>126243.174</v>
      </c>
      <c r="E13" s="3">
        <v>4.1470000000000002</v>
      </c>
      <c r="F13" s="3">
        <v>293</v>
      </c>
    </row>
    <row r="14" spans="1:39" x14ac:dyDescent="0.25">
      <c r="A14" s="3" t="s">
        <v>2</v>
      </c>
      <c r="B14" s="3">
        <v>47</v>
      </c>
      <c r="C14" s="3">
        <v>1</v>
      </c>
      <c r="D14" s="3">
        <v>126325.148</v>
      </c>
      <c r="E14" s="3">
        <v>4.149</v>
      </c>
      <c r="F14" s="3">
        <v>300</v>
      </c>
    </row>
    <row r="15" spans="1:39" x14ac:dyDescent="0.25">
      <c r="A15" s="3" t="s">
        <v>2</v>
      </c>
      <c r="B15" s="3">
        <v>47</v>
      </c>
      <c r="C15" s="3">
        <v>1</v>
      </c>
      <c r="D15" s="3">
        <v>126288.639</v>
      </c>
      <c r="E15" s="3">
        <v>4.141</v>
      </c>
      <c r="F15" s="3">
        <v>302</v>
      </c>
    </row>
    <row r="16" spans="1:39" x14ac:dyDescent="0.25">
      <c r="A16" s="3" t="s">
        <v>2</v>
      </c>
      <c r="B16" s="3">
        <v>47</v>
      </c>
      <c r="C16" s="3">
        <v>1</v>
      </c>
      <c r="D16" s="3">
        <v>126184.844</v>
      </c>
      <c r="E16" s="3">
        <v>4.1449999999999996</v>
      </c>
      <c r="F16" s="3">
        <v>296</v>
      </c>
    </row>
    <row r="17" spans="1:6" x14ac:dyDescent="0.25">
      <c r="A17" s="3" t="s">
        <v>2</v>
      </c>
      <c r="B17" s="3">
        <v>47</v>
      </c>
      <c r="C17" s="3">
        <v>1</v>
      </c>
      <c r="D17" s="3">
        <v>126239.867</v>
      </c>
      <c r="E17" s="3">
        <v>4.1470000000000002</v>
      </c>
      <c r="F17" s="3">
        <v>308</v>
      </c>
    </row>
    <row r="18" spans="1:6" x14ac:dyDescent="0.25">
      <c r="A18" s="3" t="s">
        <v>2</v>
      </c>
      <c r="B18" s="3">
        <v>47</v>
      </c>
      <c r="C18" s="3">
        <v>1</v>
      </c>
      <c r="D18" s="3">
        <v>126360.697</v>
      </c>
      <c r="E18" s="3">
        <v>4.1429999999999998</v>
      </c>
      <c r="F18" s="3">
        <v>289</v>
      </c>
    </row>
    <row r="19" spans="1:6" x14ac:dyDescent="0.25">
      <c r="A19" s="3" t="s">
        <v>2</v>
      </c>
      <c r="B19" s="3">
        <v>47</v>
      </c>
      <c r="C19" s="3">
        <v>1</v>
      </c>
      <c r="D19" s="3">
        <v>126234.99800000001</v>
      </c>
      <c r="E19" s="3">
        <v>4.1429999999999998</v>
      </c>
      <c r="F19" s="3">
        <v>293</v>
      </c>
    </row>
    <row r="20" spans="1:6" x14ac:dyDescent="0.25">
      <c r="A20" s="3" t="s">
        <v>2</v>
      </c>
      <c r="B20" s="3">
        <v>47</v>
      </c>
      <c r="C20" s="3">
        <v>1</v>
      </c>
      <c r="D20" s="3">
        <v>126261.36900000001</v>
      </c>
      <c r="E20" s="3">
        <v>4.1399999999999997</v>
      </c>
      <c r="F20" s="3">
        <v>303</v>
      </c>
    </row>
    <row r="21" spans="1:6" x14ac:dyDescent="0.25">
      <c r="A21" s="3" t="s">
        <v>2</v>
      </c>
      <c r="B21" s="3">
        <v>100</v>
      </c>
      <c r="C21" s="3">
        <v>1</v>
      </c>
      <c r="D21" s="3">
        <v>1216851.4180000001</v>
      </c>
      <c r="E21" s="3">
        <v>22.09</v>
      </c>
      <c r="F21" s="3">
        <v>349</v>
      </c>
    </row>
    <row r="22" spans="1:6" x14ac:dyDescent="0.25">
      <c r="A22" s="3" t="s">
        <v>2</v>
      </c>
      <c r="B22" s="3">
        <v>100</v>
      </c>
      <c r="C22" s="3">
        <v>1</v>
      </c>
      <c r="D22" s="3">
        <v>1216892.2339999999</v>
      </c>
      <c r="E22" s="3">
        <v>22.091000000000001</v>
      </c>
      <c r="F22" s="3">
        <v>333</v>
      </c>
    </row>
    <row r="23" spans="1:6" x14ac:dyDescent="0.25">
      <c r="A23" s="3" t="s">
        <v>2</v>
      </c>
      <c r="B23" s="3">
        <v>100</v>
      </c>
      <c r="C23" s="3">
        <v>1</v>
      </c>
      <c r="D23" s="3">
        <v>1216630.794</v>
      </c>
      <c r="E23" s="3">
        <v>22.093</v>
      </c>
      <c r="F23" s="3">
        <v>351</v>
      </c>
    </row>
    <row r="24" spans="1:6" x14ac:dyDescent="0.25">
      <c r="A24" s="3" t="s">
        <v>2</v>
      </c>
      <c r="B24" s="3">
        <v>100</v>
      </c>
      <c r="C24" s="3">
        <v>1</v>
      </c>
      <c r="D24" s="3">
        <v>1216725.97</v>
      </c>
      <c r="E24" s="3">
        <v>22.056999999999999</v>
      </c>
      <c r="F24" s="3">
        <v>325</v>
      </c>
    </row>
    <row r="25" spans="1:6" x14ac:dyDescent="0.25">
      <c r="A25" s="3" t="s">
        <v>2</v>
      </c>
      <c r="B25" s="3">
        <v>100</v>
      </c>
      <c r="C25" s="3">
        <v>1</v>
      </c>
      <c r="D25" s="3">
        <v>1216781.206</v>
      </c>
      <c r="E25" s="3">
        <v>22.077000000000002</v>
      </c>
      <c r="F25" s="3">
        <v>339</v>
      </c>
    </row>
    <row r="26" spans="1:6" x14ac:dyDescent="0.25">
      <c r="A26" s="3" t="s">
        <v>2</v>
      </c>
      <c r="B26" s="3">
        <v>100</v>
      </c>
      <c r="C26" s="3">
        <v>1</v>
      </c>
      <c r="D26" s="3">
        <v>1217100.3230000001</v>
      </c>
      <c r="E26" s="3">
        <v>22.079000000000001</v>
      </c>
      <c r="F26" s="3">
        <v>350</v>
      </c>
    </row>
    <row r="27" spans="1:6" x14ac:dyDescent="0.25">
      <c r="A27" s="3" t="s">
        <v>2</v>
      </c>
      <c r="B27" s="3">
        <v>100</v>
      </c>
      <c r="C27" s="3">
        <v>1</v>
      </c>
      <c r="D27" s="3">
        <v>1216973.9439999999</v>
      </c>
      <c r="E27" s="3">
        <v>22.077000000000002</v>
      </c>
      <c r="F27" s="3">
        <v>339</v>
      </c>
    </row>
    <row r="28" spans="1:6" x14ac:dyDescent="0.25">
      <c r="A28" s="3" t="s">
        <v>2</v>
      </c>
      <c r="B28" s="3">
        <v>100</v>
      </c>
      <c r="C28" s="3">
        <v>1</v>
      </c>
      <c r="D28" s="3">
        <v>1217121.149</v>
      </c>
      <c r="E28" s="3">
        <v>22.067</v>
      </c>
      <c r="F28" s="3">
        <v>350</v>
      </c>
    </row>
    <row r="29" spans="1:6" x14ac:dyDescent="0.25">
      <c r="A29" s="3" t="s">
        <v>2</v>
      </c>
      <c r="B29" s="3">
        <v>100</v>
      </c>
      <c r="C29" s="3">
        <v>1</v>
      </c>
      <c r="D29" s="3">
        <v>1217430.838</v>
      </c>
      <c r="E29" s="3">
        <v>22.068000000000001</v>
      </c>
      <c r="F29" s="3">
        <v>334</v>
      </c>
    </row>
    <row r="30" spans="1:6" x14ac:dyDescent="0.25">
      <c r="A30" s="3" t="s">
        <v>2</v>
      </c>
      <c r="B30" s="3">
        <v>100</v>
      </c>
      <c r="C30" s="3">
        <v>1</v>
      </c>
      <c r="D30" s="3">
        <v>1217402.557</v>
      </c>
      <c r="E30" s="3">
        <v>22.082999999999998</v>
      </c>
      <c r="F30" s="3">
        <v>340</v>
      </c>
    </row>
    <row r="31" spans="1:6" x14ac:dyDescent="0.25">
      <c r="A31" s="3" t="s">
        <v>1</v>
      </c>
      <c r="B31" s="3">
        <v>30</v>
      </c>
      <c r="C31" s="3">
        <v>1</v>
      </c>
      <c r="D31" s="3">
        <v>19974.418000000001</v>
      </c>
      <c r="E31" s="3">
        <v>1.351</v>
      </c>
      <c r="F31" s="3">
        <v>192</v>
      </c>
    </row>
    <row r="32" spans="1:6" x14ac:dyDescent="0.25">
      <c r="A32" s="3" t="s">
        <v>1</v>
      </c>
      <c r="B32" s="3">
        <v>30</v>
      </c>
      <c r="C32" s="3">
        <v>1</v>
      </c>
      <c r="D32" s="3">
        <v>20023.669999999998</v>
      </c>
      <c r="E32" s="3">
        <v>1.3480000000000001</v>
      </c>
      <c r="F32" s="3">
        <v>190</v>
      </c>
    </row>
    <row r="33" spans="1:6" x14ac:dyDescent="0.25">
      <c r="A33" s="3" t="s">
        <v>1</v>
      </c>
      <c r="B33" s="3">
        <v>30</v>
      </c>
      <c r="C33" s="3">
        <v>1</v>
      </c>
      <c r="D33" s="3">
        <v>20091.305</v>
      </c>
      <c r="E33" s="3">
        <v>1.349</v>
      </c>
      <c r="F33" s="3">
        <v>181</v>
      </c>
    </row>
    <row r="34" spans="1:6" x14ac:dyDescent="0.25">
      <c r="A34" s="3" t="s">
        <v>1</v>
      </c>
      <c r="B34" s="3">
        <v>30</v>
      </c>
      <c r="C34" s="3">
        <v>1</v>
      </c>
      <c r="D34" s="3">
        <v>19982.957999999999</v>
      </c>
      <c r="E34" s="3">
        <v>1.347</v>
      </c>
      <c r="F34" s="3">
        <v>210</v>
      </c>
    </row>
    <row r="35" spans="1:6" x14ac:dyDescent="0.25">
      <c r="A35" s="3" t="s">
        <v>1</v>
      </c>
      <c r="B35" s="3">
        <v>30</v>
      </c>
      <c r="C35" s="3">
        <v>1</v>
      </c>
      <c r="D35" s="3">
        <v>20004.457999999999</v>
      </c>
      <c r="E35" s="3">
        <v>1.3460000000000001</v>
      </c>
      <c r="F35" s="3">
        <v>200</v>
      </c>
    </row>
    <row r="36" spans="1:6" x14ac:dyDescent="0.25">
      <c r="A36" s="3" t="s">
        <v>1</v>
      </c>
      <c r="B36" s="3">
        <v>30</v>
      </c>
      <c r="C36" s="3">
        <v>1</v>
      </c>
      <c r="D36" s="3">
        <v>20028.990000000002</v>
      </c>
      <c r="E36" s="3">
        <v>1.349</v>
      </c>
      <c r="F36" s="3">
        <v>191</v>
      </c>
    </row>
    <row r="37" spans="1:6" x14ac:dyDescent="0.25">
      <c r="A37" s="3" t="s">
        <v>1</v>
      </c>
      <c r="B37" s="3">
        <v>30</v>
      </c>
      <c r="C37" s="3">
        <v>1</v>
      </c>
      <c r="D37" s="3">
        <v>20025.240000000002</v>
      </c>
      <c r="E37" s="3">
        <v>1.349</v>
      </c>
      <c r="F37" s="3">
        <v>208</v>
      </c>
    </row>
    <row r="38" spans="1:6" x14ac:dyDescent="0.25">
      <c r="A38" s="3" t="s">
        <v>1</v>
      </c>
      <c r="B38" s="3">
        <v>30</v>
      </c>
      <c r="C38" s="3">
        <v>1</v>
      </c>
      <c r="D38" s="3">
        <v>19994.678</v>
      </c>
      <c r="E38" s="3">
        <v>1.349</v>
      </c>
      <c r="F38" s="3">
        <v>192</v>
      </c>
    </row>
    <row r="39" spans="1:6" x14ac:dyDescent="0.25">
      <c r="A39" s="3" t="s">
        <v>1</v>
      </c>
      <c r="B39" s="3">
        <v>30</v>
      </c>
      <c r="C39" s="3">
        <v>1</v>
      </c>
      <c r="D39" s="3">
        <v>19978.725999999999</v>
      </c>
      <c r="E39" s="3">
        <v>1.3460000000000001</v>
      </c>
      <c r="F39" s="3">
        <v>182</v>
      </c>
    </row>
    <row r="40" spans="1:6" x14ac:dyDescent="0.25">
      <c r="A40" s="3" t="s">
        <v>1</v>
      </c>
      <c r="B40" s="3">
        <v>30</v>
      </c>
      <c r="C40" s="3">
        <v>1</v>
      </c>
      <c r="D40" s="3">
        <v>20004.556</v>
      </c>
      <c r="E40" s="3">
        <v>1.349</v>
      </c>
      <c r="F40" s="3">
        <v>194</v>
      </c>
    </row>
    <row r="41" spans="1:6" x14ac:dyDescent="0.25">
      <c r="A41" s="3" t="s">
        <v>1</v>
      </c>
      <c r="B41" s="3">
        <v>50</v>
      </c>
      <c r="C41" s="3">
        <v>1</v>
      </c>
      <c r="D41" s="3">
        <v>35404.548999999999</v>
      </c>
      <c r="E41" s="3">
        <v>3.0350000000000001</v>
      </c>
      <c r="F41" s="3">
        <v>174</v>
      </c>
    </row>
    <row r="42" spans="1:6" x14ac:dyDescent="0.25">
      <c r="A42" s="3" t="s">
        <v>1</v>
      </c>
      <c r="B42" s="3">
        <v>50</v>
      </c>
      <c r="C42" s="3">
        <v>1</v>
      </c>
      <c r="D42" s="3">
        <v>35391.707000000002</v>
      </c>
      <c r="E42" s="3">
        <v>3.0419999999999998</v>
      </c>
      <c r="F42" s="3">
        <v>173</v>
      </c>
    </row>
    <row r="43" spans="1:6" x14ac:dyDescent="0.25">
      <c r="A43" s="3" t="s">
        <v>1</v>
      </c>
      <c r="B43" s="3">
        <v>50</v>
      </c>
      <c r="C43" s="3">
        <v>1</v>
      </c>
      <c r="D43" s="3">
        <v>35363.504000000001</v>
      </c>
      <c r="E43" s="3">
        <v>3.0409999999999999</v>
      </c>
      <c r="F43" s="3">
        <v>188</v>
      </c>
    </row>
    <row r="44" spans="1:6" x14ac:dyDescent="0.25">
      <c r="A44" s="3" t="s">
        <v>1</v>
      </c>
      <c r="B44" s="3">
        <v>50</v>
      </c>
      <c r="C44" s="3">
        <v>1</v>
      </c>
      <c r="D44" s="3">
        <v>35346.514999999999</v>
      </c>
      <c r="E44" s="3">
        <v>3.044</v>
      </c>
      <c r="F44" s="3">
        <v>179</v>
      </c>
    </row>
    <row r="45" spans="1:6" x14ac:dyDescent="0.25">
      <c r="A45" s="3" t="s">
        <v>1</v>
      </c>
      <c r="B45" s="3">
        <v>50</v>
      </c>
      <c r="C45" s="3">
        <v>1</v>
      </c>
      <c r="D45" s="3">
        <v>35433.247000000003</v>
      </c>
      <c r="E45" s="3">
        <v>3.0329999999999999</v>
      </c>
      <c r="F45" s="3">
        <v>182</v>
      </c>
    </row>
    <row r="46" spans="1:6" x14ac:dyDescent="0.25">
      <c r="A46" s="3" t="s">
        <v>1</v>
      </c>
      <c r="B46" s="3">
        <v>50</v>
      </c>
      <c r="C46" s="3">
        <v>1</v>
      </c>
      <c r="D46" s="3">
        <v>35393.027000000002</v>
      </c>
      <c r="E46" s="3">
        <v>3.0329999999999999</v>
      </c>
      <c r="F46" s="3">
        <v>181</v>
      </c>
    </row>
    <row r="47" spans="1:6" x14ac:dyDescent="0.25">
      <c r="A47" s="3" t="s">
        <v>1</v>
      </c>
      <c r="B47" s="3">
        <v>50</v>
      </c>
      <c r="C47" s="3">
        <v>1</v>
      </c>
      <c r="D47" s="3">
        <v>35389.696000000004</v>
      </c>
      <c r="E47" s="3">
        <v>3.0430000000000001</v>
      </c>
      <c r="F47" s="3">
        <v>181</v>
      </c>
    </row>
    <row r="48" spans="1:6" x14ac:dyDescent="0.25">
      <c r="A48" s="3" t="s">
        <v>1</v>
      </c>
      <c r="B48" s="3">
        <v>50</v>
      </c>
      <c r="C48" s="3">
        <v>1</v>
      </c>
      <c r="D48" s="3">
        <v>35430.226999999999</v>
      </c>
      <c r="E48" s="3">
        <v>3.044</v>
      </c>
      <c r="F48" s="3">
        <v>176</v>
      </c>
    </row>
    <row r="49" spans="1:6" x14ac:dyDescent="0.25">
      <c r="A49" s="3" t="s">
        <v>1</v>
      </c>
      <c r="B49" s="3">
        <v>50</v>
      </c>
      <c r="C49" s="3">
        <v>1</v>
      </c>
      <c r="D49" s="3">
        <v>35332.711000000003</v>
      </c>
      <c r="E49" s="3">
        <v>3.044</v>
      </c>
      <c r="F49" s="3">
        <v>184</v>
      </c>
    </row>
    <row r="50" spans="1:6" x14ac:dyDescent="0.25">
      <c r="A50" s="3" t="s">
        <v>1</v>
      </c>
      <c r="B50" s="3">
        <v>50</v>
      </c>
      <c r="C50" s="3">
        <v>1</v>
      </c>
      <c r="D50" s="3">
        <v>35333.373</v>
      </c>
      <c r="E50" s="3">
        <v>3.0369999999999999</v>
      </c>
      <c r="F50" s="3">
        <v>175</v>
      </c>
    </row>
    <row r="51" spans="1:6" x14ac:dyDescent="0.25">
      <c r="A51" s="3" t="s">
        <v>1</v>
      </c>
      <c r="B51" s="3">
        <v>100</v>
      </c>
      <c r="C51" s="3">
        <v>1</v>
      </c>
      <c r="D51" s="3">
        <v>63053.508000000002</v>
      </c>
      <c r="E51" s="3">
        <v>11.708</v>
      </c>
      <c r="F51" s="3">
        <v>195</v>
      </c>
    </row>
    <row r="52" spans="1:6" x14ac:dyDescent="0.25">
      <c r="A52" s="3" t="s">
        <v>1</v>
      </c>
      <c r="B52" s="3">
        <v>100</v>
      </c>
      <c r="C52" s="3">
        <v>1</v>
      </c>
      <c r="D52" s="3">
        <v>63108.741999999998</v>
      </c>
      <c r="E52" s="3">
        <v>11.685</v>
      </c>
      <c r="F52" s="3">
        <v>188</v>
      </c>
    </row>
    <row r="53" spans="1:6" x14ac:dyDescent="0.25">
      <c r="A53" s="3" t="s">
        <v>1</v>
      </c>
      <c r="B53" s="3">
        <v>100</v>
      </c>
      <c r="C53" s="3">
        <v>1</v>
      </c>
      <c r="D53" s="3">
        <v>63100.053</v>
      </c>
      <c r="E53" s="3">
        <v>11.677</v>
      </c>
      <c r="F53" s="3">
        <v>189</v>
      </c>
    </row>
    <row r="54" spans="1:6" x14ac:dyDescent="0.25">
      <c r="A54" s="3" t="s">
        <v>1</v>
      </c>
      <c r="B54" s="3">
        <v>100</v>
      </c>
      <c r="C54" s="3">
        <v>1</v>
      </c>
      <c r="D54" s="3">
        <v>63176.983999999997</v>
      </c>
      <c r="E54" s="3">
        <v>11.711</v>
      </c>
      <c r="F54" s="3">
        <v>195</v>
      </c>
    </row>
    <row r="55" spans="1:6" x14ac:dyDescent="0.25">
      <c r="A55" s="3" t="s">
        <v>1</v>
      </c>
      <c r="B55" s="3">
        <v>100</v>
      </c>
      <c r="C55" s="3">
        <v>1</v>
      </c>
      <c r="D55" s="3">
        <v>63092.436000000002</v>
      </c>
      <c r="E55" s="3">
        <v>11.709</v>
      </c>
      <c r="F55" s="3">
        <v>187</v>
      </c>
    </row>
    <row r="56" spans="1:6" x14ac:dyDescent="0.25">
      <c r="A56" s="3" t="s">
        <v>1</v>
      </c>
      <c r="B56" s="3">
        <v>100</v>
      </c>
      <c r="C56" s="3">
        <v>1</v>
      </c>
      <c r="D56" s="3">
        <v>63092.133000000002</v>
      </c>
      <c r="E56" s="3">
        <v>11.708</v>
      </c>
      <c r="F56" s="3">
        <v>194</v>
      </c>
    </row>
    <row r="57" spans="1:6" x14ac:dyDescent="0.25">
      <c r="A57" s="3" t="s">
        <v>1</v>
      </c>
      <c r="B57" s="3">
        <v>100</v>
      </c>
      <c r="C57" s="3">
        <v>1</v>
      </c>
      <c r="D57" s="3">
        <v>63124.048999999999</v>
      </c>
      <c r="E57" s="3">
        <v>11.712999999999999</v>
      </c>
      <c r="F57" s="3">
        <v>192</v>
      </c>
    </row>
    <row r="58" spans="1:6" x14ac:dyDescent="0.25">
      <c r="A58" s="3" t="s">
        <v>1</v>
      </c>
      <c r="B58" s="3">
        <v>100</v>
      </c>
      <c r="C58" s="3">
        <v>1</v>
      </c>
      <c r="D58" s="3">
        <v>63135.440999999999</v>
      </c>
      <c r="E58" s="3">
        <v>11.707000000000001</v>
      </c>
      <c r="F58" s="3">
        <v>191</v>
      </c>
    </row>
    <row r="59" spans="1:6" x14ac:dyDescent="0.25">
      <c r="A59" s="3" t="s">
        <v>1</v>
      </c>
      <c r="B59" s="3">
        <v>100</v>
      </c>
      <c r="C59" s="3">
        <v>1</v>
      </c>
      <c r="D59" s="3">
        <v>63190.68</v>
      </c>
      <c r="E59" s="3">
        <v>11.704000000000001</v>
      </c>
      <c r="F59" s="3">
        <v>189</v>
      </c>
    </row>
    <row r="60" spans="1:6" x14ac:dyDescent="0.25">
      <c r="A60" s="3" t="s">
        <v>1</v>
      </c>
      <c r="B60" s="3">
        <v>100</v>
      </c>
      <c r="C60" s="3">
        <v>1</v>
      </c>
      <c r="D60" s="3">
        <v>63164.175000000003</v>
      </c>
      <c r="E60" s="3">
        <v>11.696999999999999</v>
      </c>
      <c r="F60" s="3">
        <v>184</v>
      </c>
    </row>
    <row r="61" spans="1:6" x14ac:dyDescent="0.25">
      <c r="A61" s="3" t="s">
        <v>0</v>
      </c>
      <c r="B61" s="3">
        <v>25</v>
      </c>
      <c r="C61" s="3">
        <v>1</v>
      </c>
      <c r="D61" s="3">
        <v>723.47400000000005</v>
      </c>
      <c r="E61" s="3">
        <v>0.90200000000000002</v>
      </c>
      <c r="F61" s="3">
        <v>174</v>
      </c>
    </row>
    <row r="62" spans="1:6" x14ac:dyDescent="0.25">
      <c r="A62" s="3" t="s">
        <v>0</v>
      </c>
      <c r="B62" s="3">
        <v>25</v>
      </c>
      <c r="C62" s="3">
        <v>1</v>
      </c>
      <c r="D62" s="3">
        <v>723.78399999999999</v>
      </c>
      <c r="E62" s="3">
        <v>0.90400000000000003</v>
      </c>
      <c r="F62" s="3">
        <v>182</v>
      </c>
    </row>
    <row r="63" spans="1:6" x14ac:dyDescent="0.25">
      <c r="A63" s="3" t="s">
        <v>0</v>
      </c>
      <c r="B63" s="3">
        <v>25</v>
      </c>
      <c r="C63" s="3">
        <v>1</v>
      </c>
      <c r="D63" s="3">
        <v>723.77800000000002</v>
      </c>
      <c r="E63" s="3">
        <v>0.90400000000000003</v>
      </c>
      <c r="F63" s="3">
        <v>179</v>
      </c>
    </row>
    <row r="64" spans="1:6" x14ac:dyDescent="0.25">
      <c r="A64" s="3" t="s">
        <v>0</v>
      </c>
      <c r="B64" s="3">
        <v>25</v>
      </c>
      <c r="C64" s="3">
        <v>1</v>
      </c>
      <c r="D64" s="3">
        <v>723.83</v>
      </c>
      <c r="E64" s="3">
        <v>0.90500000000000003</v>
      </c>
      <c r="F64" s="3">
        <v>193</v>
      </c>
    </row>
    <row r="65" spans="1:6" x14ac:dyDescent="0.25">
      <c r="A65" s="3" t="s">
        <v>0</v>
      </c>
      <c r="B65" s="3">
        <v>25</v>
      </c>
      <c r="C65" s="3">
        <v>1</v>
      </c>
      <c r="D65" s="3">
        <v>723.98299999999995</v>
      </c>
      <c r="E65" s="3">
        <v>0.90300000000000002</v>
      </c>
      <c r="F65" s="3">
        <v>153</v>
      </c>
    </row>
    <row r="66" spans="1:6" x14ac:dyDescent="0.25">
      <c r="A66" s="3" t="s">
        <v>0</v>
      </c>
      <c r="B66" s="3">
        <v>25</v>
      </c>
      <c r="C66" s="3">
        <v>1</v>
      </c>
      <c r="D66" s="3">
        <v>722.96699999999998</v>
      </c>
      <c r="E66" s="3">
        <v>0.90300000000000002</v>
      </c>
      <c r="F66" s="3">
        <v>182</v>
      </c>
    </row>
    <row r="67" spans="1:6" x14ac:dyDescent="0.25">
      <c r="A67" s="3" t="s">
        <v>0</v>
      </c>
      <c r="B67" s="3">
        <v>25</v>
      </c>
      <c r="C67" s="3">
        <v>1</v>
      </c>
      <c r="D67" s="3">
        <v>723.97799999999995</v>
      </c>
      <c r="E67" s="3">
        <v>0.90100000000000002</v>
      </c>
      <c r="F67" s="3">
        <v>153</v>
      </c>
    </row>
    <row r="68" spans="1:6" x14ac:dyDescent="0.25">
      <c r="A68" s="3" t="s">
        <v>0</v>
      </c>
      <c r="B68" s="3">
        <v>25</v>
      </c>
      <c r="C68" s="3">
        <v>1</v>
      </c>
      <c r="D68" s="3">
        <v>723.06500000000005</v>
      </c>
      <c r="E68" s="3">
        <v>0.90300000000000002</v>
      </c>
      <c r="F68" s="3">
        <v>192</v>
      </c>
    </row>
    <row r="69" spans="1:6" x14ac:dyDescent="0.25">
      <c r="A69" s="3" t="s">
        <v>0</v>
      </c>
      <c r="B69" s="3">
        <v>25</v>
      </c>
      <c r="C69" s="3">
        <v>1</v>
      </c>
      <c r="D69" s="3">
        <v>723.40700000000004</v>
      </c>
      <c r="E69" s="3">
        <v>0.90300000000000002</v>
      </c>
      <c r="F69" s="3">
        <v>150</v>
      </c>
    </row>
    <row r="70" spans="1:6" x14ac:dyDescent="0.25">
      <c r="A70" s="3" t="s">
        <v>0</v>
      </c>
      <c r="B70" s="3">
        <v>25</v>
      </c>
      <c r="C70" s="3">
        <v>1</v>
      </c>
      <c r="D70" s="3">
        <v>723.19600000000003</v>
      </c>
      <c r="E70" s="3">
        <v>0.90400000000000003</v>
      </c>
      <c r="F70" s="3">
        <v>195</v>
      </c>
    </row>
    <row r="71" spans="1:6" x14ac:dyDescent="0.25">
      <c r="A71" s="3" t="s">
        <v>0</v>
      </c>
      <c r="B71" s="3">
        <v>50</v>
      </c>
      <c r="C71" s="3">
        <v>1</v>
      </c>
      <c r="D71" s="3">
        <v>1572.4949999999999</v>
      </c>
      <c r="E71" s="3">
        <v>3.3719999999999999</v>
      </c>
      <c r="F71" s="3">
        <v>211</v>
      </c>
    </row>
    <row r="72" spans="1:6" x14ac:dyDescent="0.25">
      <c r="A72" s="3" t="s">
        <v>0</v>
      </c>
      <c r="B72" s="3">
        <v>50</v>
      </c>
      <c r="C72" s="3">
        <v>1</v>
      </c>
      <c r="D72" s="3">
        <v>1571.884</v>
      </c>
      <c r="E72" s="3">
        <v>3.371</v>
      </c>
      <c r="F72" s="3">
        <v>207</v>
      </c>
    </row>
    <row r="73" spans="1:6" x14ac:dyDescent="0.25">
      <c r="A73" s="3" t="s">
        <v>0</v>
      </c>
      <c r="B73" s="3">
        <v>50</v>
      </c>
      <c r="C73" s="3">
        <v>1</v>
      </c>
      <c r="D73" s="3">
        <v>1572.5250000000001</v>
      </c>
      <c r="E73" s="3">
        <v>3.38</v>
      </c>
      <c r="F73" s="3">
        <v>201</v>
      </c>
    </row>
    <row r="74" spans="1:6" x14ac:dyDescent="0.25">
      <c r="A74" s="3" t="s">
        <v>0</v>
      </c>
      <c r="B74" s="3">
        <v>50</v>
      </c>
      <c r="C74" s="3">
        <v>1</v>
      </c>
      <c r="D74" s="3">
        <v>1572.4269999999999</v>
      </c>
      <c r="E74" s="3">
        <v>3.379</v>
      </c>
      <c r="F74" s="3">
        <v>211</v>
      </c>
    </row>
    <row r="75" spans="1:6" x14ac:dyDescent="0.25">
      <c r="A75" s="3" t="s">
        <v>0</v>
      </c>
      <c r="B75" s="3">
        <v>50</v>
      </c>
      <c r="C75" s="3">
        <v>1</v>
      </c>
      <c r="D75" s="3">
        <v>1571.742</v>
      </c>
      <c r="E75" s="3">
        <v>3.3690000000000002</v>
      </c>
      <c r="F75" s="3">
        <v>203</v>
      </c>
    </row>
    <row r="76" spans="1:6" x14ac:dyDescent="0.25">
      <c r="A76" s="3" t="s">
        <v>0</v>
      </c>
      <c r="B76" s="3">
        <v>50</v>
      </c>
      <c r="C76" s="3">
        <v>1</v>
      </c>
      <c r="D76" s="3">
        <v>1573.5730000000001</v>
      </c>
      <c r="E76" s="3">
        <v>3.371</v>
      </c>
      <c r="F76" s="3">
        <v>194</v>
      </c>
    </row>
    <row r="77" spans="1:6" x14ac:dyDescent="0.25">
      <c r="A77" s="3" t="s">
        <v>0</v>
      </c>
      <c r="B77" s="3">
        <v>50</v>
      </c>
      <c r="C77" s="3">
        <v>1</v>
      </c>
      <c r="D77" s="3">
        <v>1573.742</v>
      </c>
      <c r="E77" s="3">
        <v>3.3740000000000001</v>
      </c>
      <c r="F77" s="3">
        <v>196</v>
      </c>
    </row>
    <row r="78" spans="1:6" x14ac:dyDescent="0.25">
      <c r="A78" s="3" t="s">
        <v>0</v>
      </c>
      <c r="B78" s="3">
        <v>50</v>
      </c>
      <c r="C78" s="3">
        <v>1</v>
      </c>
      <c r="D78" s="3">
        <v>1572.1110000000001</v>
      </c>
      <c r="E78" s="3">
        <v>3.3719999999999999</v>
      </c>
      <c r="F78" s="3">
        <v>200</v>
      </c>
    </row>
    <row r="79" spans="1:6" x14ac:dyDescent="0.25">
      <c r="A79" s="3" t="s">
        <v>0</v>
      </c>
      <c r="B79" s="3">
        <v>50</v>
      </c>
      <c r="C79" s="3">
        <v>1</v>
      </c>
      <c r="D79" s="3">
        <v>1572.742</v>
      </c>
      <c r="E79" s="3">
        <v>3.371</v>
      </c>
      <c r="F79" s="3">
        <v>214</v>
      </c>
    </row>
    <row r="80" spans="1:6" x14ac:dyDescent="0.25">
      <c r="A80" s="3" t="s">
        <v>0</v>
      </c>
      <c r="B80" s="3">
        <v>50</v>
      </c>
      <c r="C80" s="3">
        <v>1</v>
      </c>
      <c r="D80" s="3">
        <v>1572.759</v>
      </c>
      <c r="E80" s="3">
        <v>3.3719999999999999</v>
      </c>
      <c r="F80" s="3">
        <v>211</v>
      </c>
    </row>
    <row r="81" spans="1:6" x14ac:dyDescent="0.25">
      <c r="A81" s="3" t="s">
        <v>0</v>
      </c>
      <c r="B81" s="3">
        <v>100</v>
      </c>
      <c r="C81" s="3">
        <v>1</v>
      </c>
      <c r="D81" s="3">
        <v>3319.0070000000001</v>
      </c>
      <c r="E81" s="3">
        <v>11.321</v>
      </c>
      <c r="F81" s="3">
        <v>177</v>
      </c>
    </row>
    <row r="82" spans="1:6" x14ac:dyDescent="0.25">
      <c r="A82" s="3" t="s">
        <v>0</v>
      </c>
      <c r="B82" s="3">
        <v>100</v>
      </c>
      <c r="C82" s="3">
        <v>1</v>
      </c>
      <c r="D82" s="3">
        <v>3314.779</v>
      </c>
      <c r="E82" s="3">
        <v>11.343</v>
      </c>
      <c r="F82" s="3">
        <v>181</v>
      </c>
    </row>
    <row r="83" spans="1:6" x14ac:dyDescent="0.25">
      <c r="A83" s="3" t="s">
        <v>0</v>
      </c>
      <c r="B83" s="3">
        <v>100</v>
      </c>
      <c r="C83" s="3">
        <v>1</v>
      </c>
      <c r="D83" s="3">
        <v>3323.1309999999999</v>
      </c>
      <c r="E83" s="3">
        <v>11.316000000000001</v>
      </c>
      <c r="F83" s="3">
        <v>180</v>
      </c>
    </row>
    <row r="84" spans="1:6" x14ac:dyDescent="0.25">
      <c r="A84" s="3" t="s">
        <v>0</v>
      </c>
      <c r="B84" s="3">
        <v>100</v>
      </c>
      <c r="C84" s="3">
        <v>1</v>
      </c>
      <c r="D84" s="3">
        <v>3298.4290000000001</v>
      </c>
      <c r="E84" s="3">
        <v>11.313000000000001</v>
      </c>
      <c r="F84" s="3">
        <v>184</v>
      </c>
    </row>
    <row r="85" spans="1:6" x14ac:dyDescent="0.25">
      <c r="A85" s="3" t="s">
        <v>0</v>
      </c>
      <c r="B85" s="3">
        <v>100</v>
      </c>
      <c r="C85" s="3">
        <v>1</v>
      </c>
      <c r="D85" s="3">
        <v>3324.538</v>
      </c>
      <c r="E85" s="3">
        <v>11.336</v>
      </c>
      <c r="F85" s="3">
        <v>178</v>
      </c>
    </row>
    <row r="86" spans="1:6" x14ac:dyDescent="0.25">
      <c r="A86" s="3" t="s">
        <v>0</v>
      </c>
      <c r="B86" s="3">
        <v>100</v>
      </c>
      <c r="C86" s="3">
        <v>1</v>
      </c>
      <c r="D86" s="3">
        <v>3317.578</v>
      </c>
      <c r="E86" s="3">
        <v>11.311</v>
      </c>
      <c r="F86" s="3">
        <v>176</v>
      </c>
    </row>
    <row r="87" spans="1:6" x14ac:dyDescent="0.25">
      <c r="A87" s="3" t="s">
        <v>0</v>
      </c>
      <c r="B87" s="3">
        <v>100</v>
      </c>
      <c r="C87" s="3">
        <v>1</v>
      </c>
      <c r="D87" s="3">
        <v>3310.6260000000002</v>
      </c>
      <c r="E87" s="3">
        <v>11.345000000000001</v>
      </c>
      <c r="F87" s="3">
        <v>178</v>
      </c>
    </row>
    <row r="88" spans="1:6" x14ac:dyDescent="0.25">
      <c r="A88" s="3" t="s">
        <v>0</v>
      </c>
      <c r="B88" s="3">
        <v>100</v>
      </c>
      <c r="C88" s="3">
        <v>1</v>
      </c>
      <c r="D88" s="3">
        <v>3321.9279999999999</v>
      </c>
      <c r="E88" s="3">
        <v>11.356999999999999</v>
      </c>
      <c r="F88" s="3">
        <v>179</v>
      </c>
    </row>
    <row r="89" spans="1:6" x14ac:dyDescent="0.25">
      <c r="A89" s="3" t="s">
        <v>0</v>
      </c>
      <c r="B89" s="3">
        <v>100</v>
      </c>
      <c r="C89" s="3">
        <v>1</v>
      </c>
      <c r="D89" s="3">
        <v>3316.1080000000002</v>
      </c>
      <c r="E89" s="3">
        <v>11.355</v>
      </c>
      <c r="F89" s="3">
        <v>182</v>
      </c>
    </row>
    <row r="90" spans="1:6" x14ac:dyDescent="0.25">
      <c r="A90" s="3" t="s">
        <v>0</v>
      </c>
      <c r="B90" s="3">
        <v>100</v>
      </c>
      <c r="C90" s="3">
        <v>1</v>
      </c>
      <c r="D90" s="3">
        <v>3311.759</v>
      </c>
      <c r="E90" s="3">
        <v>11.336</v>
      </c>
      <c r="F90" s="3">
        <v>182</v>
      </c>
    </row>
  </sheetData>
  <phoneticPr fontId="1" type="noConversion"/>
  <pageMargins left="0.7" right="0.7" top="0.75" bottom="0.75" header="0.3" footer="0.3"/>
  <pageSetup paperSize="152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0"/>
  <sheetViews>
    <sheetView zoomScale="85" zoomScaleNormal="85" workbookViewId="0">
      <selection sqref="A1:F91"/>
    </sheetView>
  </sheetViews>
  <sheetFormatPr defaultColWidth="9" defaultRowHeight="15" x14ac:dyDescent="0.25"/>
  <cols>
    <col min="1" max="1" width="10.375" style="3" customWidth="1"/>
    <col min="2" max="2" width="4.375" style="3" bestFit="1" customWidth="1"/>
    <col min="3" max="3" width="2.625" style="3" bestFit="1" customWidth="1"/>
    <col min="4" max="4" width="10.75" style="3" customWidth="1"/>
    <col min="5" max="5" width="7" style="3" bestFit="1" customWidth="1"/>
    <col min="6" max="6" width="4.375" style="3" bestFit="1" customWidth="1"/>
    <col min="7" max="7" width="2.75" style="3" customWidth="1"/>
    <col min="8" max="8" width="9.75" style="3" customWidth="1"/>
    <col min="9" max="9" width="4.375" style="3" bestFit="1" customWidth="1"/>
    <col min="10" max="10" width="3.125" style="3" bestFit="1" customWidth="1"/>
    <col min="11" max="11" width="2.125" style="3" customWidth="1"/>
    <col min="12" max="21" width="9" style="3"/>
    <col min="22" max="22" width="2.75" style="3" customWidth="1"/>
    <col min="23" max="23" width="9" style="3"/>
    <col min="24" max="24" width="2.5" style="3" customWidth="1"/>
    <col min="25" max="25" width="9" style="3"/>
    <col min="26" max="26" width="2.25" style="3" customWidth="1"/>
    <col min="27" max="27" width="2" style="3" customWidth="1"/>
    <col min="28" max="37" width="9" style="3"/>
    <col min="38" max="38" width="5.625" style="3" customWidth="1"/>
    <col min="39" max="16384" width="9" style="3"/>
  </cols>
  <sheetData>
    <row r="1" spans="1:39" x14ac:dyDescent="0.25">
      <c r="A1" s="3" t="s">
        <v>2</v>
      </c>
      <c r="B1" s="3">
        <v>24</v>
      </c>
      <c r="C1" s="3">
        <v>1</v>
      </c>
      <c r="D1" s="3">
        <v>55993.688999999998</v>
      </c>
      <c r="E1" s="3">
        <v>1.236</v>
      </c>
      <c r="F1" s="3">
        <v>239</v>
      </c>
      <c r="H1" s="5" t="s">
        <v>13</v>
      </c>
      <c r="I1" s="5" t="s">
        <v>14</v>
      </c>
      <c r="J1" s="5" t="s">
        <v>10</v>
      </c>
      <c r="K1" s="2"/>
      <c r="L1" s="2">
        <v>1</v>
      </c>
      <c r="M1" s="2">
        <v>2</v>
      </c>
      <c r="N1" s="2">
        <v>3</v>
      </c>
      <c r="O1" s="2">
        <v>4</v>
      </c>
      <c r="P1" s="2">
        <v>5</v>
      </c>
      <c r="Q1" s="2">
        <v>6</v>
      </c>
      <c r="R1" s="2">
        <v>7</v>
      </c>
      <c r="S1" s="2">
        <v>8</v>
      </c>
      <c r="T1" s="2">
        <v>9</v>
      </c>
      <c r="U1" s="2">
        <v>10</v>
      </c>
      <c r="W1" s="2" t="s">
        <v>11</v>
      </c>
      <c r="X1" s="2"/>
      <c r="Y1" s="2" t="s">
        <v>9</v>
      </c>
      <c r="Z1" s="2"/>
      <c r="AM1" s="5" t="s">
        <v>12</v>
      </c>
    </row>
    <row r="2" spans="1:39" x14ac:dyDescent="0.25">
      <c r="A2" s="3" t="s">
        <v>2</v>
      </c>
      <c r="B2" s="3">
        <v>24</v>
      </c>
      <c r="C2" s="3">
        <v>1</v>
      </c>
      <c r="D2" s="3">
        <v>56040.218999999997</v>
      </c>
      <c r="E2" s="3">
        <v>1.2370000000000001</v>
      </c>
      <c r="F2" s="3">
        <v>276</v>
      </c>
      <c r="H2" s="3" t="s">
        <v>2</v>
      </c>
      <c r="I2" s="3">
        <v>24</v>
      </c>
      <c r="J2" s="3">
        <v>1</v>
      </c>
      <c r="L2" s="3">
        <f ca="1">INDIRECT("D"&amp;1+(ROW(D1)-1)*10+COLUMN(A1)-1)</f>
        <v>55993.688999999998</v>
      </c>
      <c r="M2" s="3">
        <f t="shared" ref="M2:U10" ca="1" si="0">INDIRECT("D"&amp;1+(ROW(E1)-1)*10+COLUMN(B1)-1)</f>
        <v>56040.218999999997</v>
      </c>
      <c r="N2" s="3">
        <f t="shared" ca="1" si="0"/>
        <v>55994.298999999999</v>
      </c>
      <c r="O2" s="3">
        <f t="shared" ca="1" si="0"/>
        <v>55991.900999999998</v>
      </c>
      <c r="P2" s="3">
        <f t="shared" ca="1" si="0"/>
        <v>55994.389000000003</v>
      </c>
      <c r="Q2" s="3">
        <f t="shared" ca="1" si="0"/>
        <v>56013.387999999999</v>
      </c>
      <c r="R2" s="3">
        <f t="shared" ca="1" si="0"/>
        <v>55963.809000000001</v>
      </c>
      <c r="S2" s="3">
        <f t="shared" ca="1" si="0"/>
        <v>56011.849000000002</v>
      </c>
      <c r="T2" s="3">
        <f t="shared" ca="1" si="0"/>
        <v>56039.995999999999</v>
      </c>
      <c r="U2" s="3">
        <f t="shared" ca="1" si="0"/>
        <v>55984.006999999998</v>
      </c>
      <c r="W2" s="3">
        <f ca="1">AVERAGE(L2:U2)</f>
        <v>56002.7546</v>
      </c>
      <c r="Y2" s="3">
        <f ca="1">Total!E2</f>
        <v>55722.476000000002</v>
      </c>
      <c r="AB2" s="3">
        <f t="shared" ref="AB2:AK10" ca="1" si="1">(L2-$Y2)/$Y2</f>
        <v>4.8672101361755008E-3</v>
      </c>
      <c r="AC2" s="3">
        <f t="shared" ca="1" si="1"/>
        <v>5.702241228476547E-3</v>
      </c>
      <c r="AD2" s="3">
        <f t="shared" ca="1" si="1"/>
        <v>4.8781572448431164E-3</v>
      </c>
      <c r="AE2" s="3">
        <f t="shared" ca="1" si="1"/>
        <v>4.8351225455235628E-3</v>
      </c>
      <c r="AF2" s="3">
        <f t="shared" ca="1" si="1"/>
        <v>4.8797723920236506E-3</v>
      </c>
      <c r="AG2" s="3">
        <f t="shared" ca="1" si="1"/>
        <v>5.2207299618200137E-3</v>
      </c>
      <c r="AH2" s="3">
        <f t="shared" ca="1" si="1"/>
        <v>4.3309812722607428E-3</v>
      </c>
      <c r="AI2" s="3">
        <f t="shared" ca="1" si="1"/>
        <v>5.1931109450340934E-3</v>
      </c>
      <c r="AJ2" s="3">
        <f t="shared" ca="1" si="1"/>
        <v>5.6982392526849814E-3</v>
      </c>
      <c r="AK2" s="3">
        <f t="shared" ca="1" si="1"/>
        <v>4.6934561917168823E-3</v>
      </c>
      <c r="AM2" s="3">
        <f ca="1">SUM(AB2:AK2)</f>
        <v>5.0299021170559087E-2</v>
      </c>
    </row>
    <row r="3" spans="1:39" x14ac:dyDescent="0.25">
      <c r="A3" s="3" t="s">
        <v>2</v>
      </c>
      <c r="B3" s="3">
        <v>24</v>
      </c>
      <c r="C3" s="3">
        <v>1</v>
      </c>
      <c r="D3" s="3">
        <v>55994.298999999999</v>
      </c>
      <c r="E3" s="3">
        <v>1.2450000000000001</v>
      </c>
      <c r="F3" s="3">
        <v>267</v>
      </c>
      <c r="H3" s="3" t="s">
        <v>2</v>
      </c>
      <c r="I3" s="3">
        <v>47</v>
      </c>
      <c r="J3" s="3">
        <v>1</v>
      </c>
      <c r="L3" s="3">
        <f t="shared" ref="L3:L10" ca="1" si="2">INDIRECT("D"&amp;1+(ROW(D2)-1)*10+COLUMN(A2)-1)</f>
        <v>126207.124</v>
      </c>
      <c r="M3" s="3">
        <f t="shared" ca="1" si="0"/>
        <v>126308.125</v>
      </c>
      <c r="N3" s="3">
        <f t="shared" ca="1" si="0"/>
        <v>126173.28599999999</v>
      </c>
      <c r="O3" s="3">
        <f t="shared" ca="1" si="0"/>
        <v>126335.946</v>
      </c>
      <c r="P3" s="3">
        <f t="shared" ca="1" si="0"/>
        <v>126327.928</v>
      </c>
      <c r="Q3" s="3">
        <f t="shared" ca="1" si="0"/>
        <v>126370.193</v>
      </c>
      <c r="R3" s="3">
        <f t="shared" ca="1" si="0"/>
        <v>126267.345</v>
      </c>
      <c r="S3" s="3">
        <f t="shared" ca="1" si="0"/>
        <v>126239.47900000001</v>
      </c>
      <c r="T3" s="3">
        <f t="shared" ca="1" si="0"/>
        <v>126219.00599999999</v>
      </c>
      <c r="U3" s="3">
        <f t="shared" ca="1" si="0"/>
        <v>126298.99</v>
      </c>
      <c r="W3" s="3">
        <f t="shared" ref="W3:W10" ca="1" si="3">AVERAGE(L3:U3)</f>
        <v>126274.74220000001</v>
      </c>
      <c r="Y3" s="3">
        <f ca="1">Total!E3</f>
        <v>126021.209</v>
      </c>
      <c r="AB3" s="3">
        <f t="shared" ca="1" si="1"/>
        <v>1.4752675480203779E-3</v>
      </c>
      <c r="AC3" s="3">
        <f t="shared" ca="1" si="1"/>
        <v>2.2767278799872286E-3</v>
      </c>
      <c r="AD3" s="3">
        <f t="shared" ca="1" si="1"/>
        <v>1.2067571895774322E-3</v>
      </c>
      <c r="AE3" s="3">
        <f t="shared" ca="1" si="1"/>
        <v>2.4974923070289995E-3</v>
      </c>
      <c r="AF3" s="3">
        <f t="shared" ca="1" si="1"/>
        <v>2.4338680959646824E-3</v>
      </c>
      <c r="AG3" s="3">
        <f t="shared" ca="1" si="1"/>
        <v>2.769248150920348E-3</v>
      </c>
      <c r="AH3" s="3">
        <f t="shared" ca="1" si="1"/>
        <v>1.9531315558161213E-3</v>
      </c>
      <c r="AI3" s="3">
        <f t="shared" ca="1" si="1"/>
        <v>1.7320100460233171E-3</v>
      </c>
      <c r="AJ3" s="3">
        <f t="shared" ca="1" si="1"/>
        <v>1.5695532646412826E-3</v>
      </c>
      <c r="AK3" s="3">
        <f t="shared" ca="1" si="1"/>
        <v>2.2042400815247111E-3</v>
      </c>
      <c r="AM3" s="3">
        <f t="shared" ref="AM3:AM10" ca="1" si="4">SUM(AB3:AK3)</f>
        <v>2.0118296119504501E-2</v>
      </c>
    </row>
    <row r="4" spans="1:39" x14ac:dyDescent="0.25">
      <c r="A4" s="3" t="s">
        <v>2</v>
      </c>
      <c r="B4" s="3">
        <v>24</v>
      </c>
      <c r="C4" s="3">
        <v>1</v>
      </c>
      <c r="D4" s="3">
        <v>55991.900999999998</v>
      </c>
      <c r="E4" s="3">
        <v>1.2350000000000001</v>
      </c>
      <c r="F4" s="3">
        <v>282</v>
      </c>
      <c r="H4" s="3" t="s">
        <v>2</v>
      </c>
      <c r="I4" s="3">
        <v>100</v>
      </c>
      <c r="J4" s="3">
        <v>1</v>
      </c>
      <c r="L4" s="3">
        <f t="shared" ca="1" si="2"/>
        <v>1216668.1769999999</v>
      </c>
      <c r="M4" s="3">
        <f t="shared" ca="1" si="0"/>
        <v>1217845.351</v>
      </c>
      <c r="N4" s="3">
        <f t="shared" ca="1" si="0"/>
        <v>1217581.7050000001</v>
      </c>
      <c r="O4" s="3">
        <f t="shared" ca="1" si="0"/>
        <v>1216808.5660000001</v>
      </c>
      <c r="P4" s="3">
        <f t="shared" ca="1" si="0"/>
        <v>1217329.318</v>
      </c>
      <c r="Q4" s="3">
        <f t="shared" ca="1" si="0"/>
        <v>1217539.1780000001</v>
      </c>
      <c r="R4" s="3">
        <f t="shared" ca="1" si="0"/>
        <v>1217073.2819999999</v>
      </c>
      <c r="S4" s="3">
        <f t="shared" ca="1" si="0"/>
        <v>1216834.4809999999</v>
      </c>
      <c r="T4" s="3">
        <f t="shared" ca="1" si="0"/>
        <v>1217140.7479999999</v>
      </c>
      <c r="U4" s="3">
        <f t="shared" ca="1" si="0"/>
        <v>1217216.416</v>
      </c>
      <c r="W4" s="3">
        <f t="shared" ca="1" si="3"/>
        <v>1217203.7222000002</v>
      </c>
      <c r="Y4" s="3">
        <f ca="1">Total!E4</f>
        <v>1216556.6340000001</v>
      </c>
      <c r="AB4" s="3">
        <f t="shared" ca="1" si="1"/>
        <v>9.1687470095889087E-5</v>
      </c>
      <c r="AC4" s="3">
        <f t="shared" ca="1" si="1"/>
        <v>1.0593152542045534E-3</v>
      </c>
      <c r="AD4" s="3">
        <f t="shared" ca="1" si="1"/>
        <v>8.4260031251450656E-4</v>
      </c>
      <c r="AE4" s="3">
        <f t="shared" ca="1" si="1"/>
        <v>2.0708612567561715E-4</v>
      </c>
      <c r="AF4" s="3">
        <f t="shared" ca="1" si="1"/>
        <v>6.3514018041176698E-4</v>
      </c>
      <c r="AG4" s="3">
        <f t="shared" ca="1" si="1"/>
        <v>8.0764345246256278E-4</v>
      </c>
      <c r="AH4" s="3">
        <f t="shared" ca="1" si="1"/>
        <v>4.2468059896323072E-4</v>
      </c>
      <c r="AI4" s="3">
        <f t="shared" ca="1" si="1"/>
        <v>2.2838805217499986E-4</v>
      </c>
      <c r="AJ4" s="3">
        <f t="shared" ca="1" si="1"/>
        <v>4.8013712117887867E-4</v>
      </c>
      <c r="AK4" s="3">
        <f t="shared" ca="1" si="1"/>
        <v>5.4233562298743759E-4</v>
      </c>
      <c r="AM4" s="3">
        <f t="shared" ca="1" si="4"/>
        <v>5.3190141906694424E-3</v>
      </c>
    </row>
    <row r="5" spans="1:39" x14ac:dyDescent="0.25">
      <c r="A5" s="3" t="s">
        <v>2</v>
      </c>
      <c r="B5" s="3">
        <v>24</v>
      </c>
      <c r="C5" s="3">
        <v>1</v>
      </c>
      <c r="D5" s="3">
        <v>55994.389000000003</v>
      </c>
      <c r="E5" s="3">
        <v>1.2390000000000001</v>
      </c>
      <c r="F5" s="3">
        <v>271</v>
      </c>
      <c r="H5" s="3" t="s">
        <v>1</v>
      </c>
      <c r="I5" s="3">
        <v>30</v>
      </c>
      <c r="J5" s="3">
        <v>1</v>
      </c>
      <c r="L5" s="3">
        <f t="shared" ca="1" si="2"/>
        <v>19997.453000000001</v>
      </c>
      <c r="M5" s="3">
        <f t="shared" ca="1" si="0"/>
        <v>20053.53</v>
      </c>
      <c r="N5" s="3">
        <f t="shared" ca="1" si="0"/>
        <v>20028.837</v>
      </c>
      <c r="O5" s="3">
        <f t="shared" ca="1" si="0"/>
        <v>20037.087</v>
      </c>
      <c r="P5" s="3">
        <f t="shared" ca="1" si="0"/>
        <v>20006.831999999999</v>
      </c>
      <c r="Q5" s="3">
        <f t="shared" ca="1" si="0"/>
        <v>20027.116000000002</v>
      </c>
      <c r="R5" s="3">
        <f t="shared" ca="1" si="0"/>
        <v>20008.539000000001</v>
      </c>
      <c r="S5" s="3">
        <f t="shared" ca="1" si="0"/>
        <v>19980.168000000001</v>
      </c>
      <c r="T5" s="3">
        <f t="shared" ca="1" si="0"/>
        <v>19999.428</v>
      </c>
      <c r="U5" s="3">
        <f t="shared" ca="1" si="0"/>
        <v>20023.075000000001</v>
      </c>
      <c r="W5" s="3">
        <f t="shared" ca="1" si="3"/>
        <v>20016.2065</v>
      </c>
      <c r="Y5" s="3">
        <f ca="1">Total!E5</f>
        <v>19969.536</v>
      </c>
      <c r="AB5" s="3">
        <f t="shared" ca="1" si="1"/>
        <v>1.3979794022255341E-3</v>
      </c>
      <c r="AC5" s="3">
        <f t="shared" ca="1" si="1"/>
        <v>4.2061067417890315E-3</v>
      </c>
      <c r="AD5" s="3">
        <f t="shared" ca="1" si="1"/>
        <v>2.9695732539804366E-3</v>
      </c>
      <c r="AE5" s="3">
        <f t="shared" ca="1" si="1"/>
        <v>3.3827025324974741E-3</v>
      </c>
      <c r="AF5" s="3">
        <f t="shared" ca="1" si="1"/>
        <v>1.867644796554034E-3</v>
      </c>
      <c r="AG5" s="3">
        <f t="shared" ca="1" si="1"/>
        <v>2.8833919826680874E-3</v>
      </c>
      <c r="AH5" s="3">
        <f t="shared" ca="1" si="1"/>
        <v>1.9531250000000308E-3</v>
      </c>
      <c r="AI5" s="3">
        <f t="shared" ca="1" si="1"/>
        <v>5.3241096838711852E-4</v>
      </c>
      <c r="AJ5" s="3">
        <f t="shared" ca="1" si="1"/>
        <v>1.4968800476886305E-3</v>
      </c>
      <c r="AK5" s="3">
        <f t="shared" ca="1" si="1"/>
        <v>2.681033750608961E-3</v>
      </c>
      <c r="AM5" s="3">
        <f t="shared" ca="1" si="4"/>
        <v>2.3370848476399336E-2</v>
      </c>
    </row>
    <row r="6" spans="1:39" x14ac:dyDescent="0.25">
      <c r="A6" s="3" t="s">
        <v>2</v>
      </c>
      <c r="B6" s="3">
        <v>24</v>
      </c>
      <c r="C6" s="3">
        <v>1</v>
      </c>
      <c r="D6" s="3">
        <v>56013.387999999999</v>
      </c>
      <c r="E6" s="3">
        <v>1.238</v>
      </c>
      <c r="F6" s="3">
        <v>263</v>
      </c>
      <c r="H6" s="3" t="s">
        <v>1</v>
      </c>
      <c r="I6" s="3">
        <v>50</v>
      </c>
      <c r="J6" s="3">
        <v>1</v>
      </c>
      <c r="L6" s="3">
        <f t="shared" ca="1" si="2"/>
        <v>35354.671000000002</v>
      </c>
      <c r="M6" s="3">
        <f t="shared" ca="1" si="0"/>
        <v>35359.307000000001</v>
      </c>
      <c r="N6" s="3">
        <f t="shared" ca="1" si="0"/>
        <v>35415.514999999999</v>
      </c>
      <c r="O6" s="3">
        <f t="shared" ca="1" si="0"/>
        <v>35498.1</v>
      </c>
      <c r="P6" s="3">
        <f t="shared" ca="1" si="0"/>
        <v>35370.231</v>
      </c>
      <c r="Q6" s="3">
        <f t="shared" ca="1" si="0"/>
        <v>35350.665000000001</v>
      </c>
      <c r="R6" s="3">
        <f t="shared" ca="1" si="0"/>
        <v>35447.303</v>
      </c>
      <c r="S6" s="3">
        <f t="shared" ca="1" si="0"/>
        <v>35412.18</v>
      </c>
      <c r="T6" s="3">
        <f t="shared" ca="1" si="0"/>
        <v>35502.129999999997</v>
      </c>
      <c r="U6" s="3">
        <f t="shared" ca="1" si="0"/>
        <v>35306.837</v>
      </c>
      <c r="W6" s="3">
        <f t="shared" ca="1" si="3"/>
        <v>35401.693899999998</v>
      </c>
      <c r="Y6" s="3">
        <f ca="1">Total!E6</f>
        <v>35277.981</v>
      </c>
      <c r="AB6" s="3">
        <f t="shared" ca="1" si="1"/>
        <v>2.1738772408773145E-3</v>
      </c>
      <c r="AC6" s="3">
        <f t="shared" ca="1" si="1"/>
        <v>2.3052906570815638E-3</v>
      </c>
      <c r="AD6" s="3">
        <f t="shared" ca="1" si="1"/>
        <v>3.8985791165316308E-3</v>
      </c>
      <c r="AE6" s="3">
        <f t="shared" ca="1" si="1"/>
        <v>6.2395577570042568E-3</v>
      </c>
      <c r="AF6" s="3">
        <f t="shared" ca="1" si="1"/>
        <v>2.614945566187589E-3</v>
      </c>
      <c r="AG6" s="3">
        <f t="shared" ca="1" si="1"/>
        <v>2.0603219895152475E-3</v>
      </c>
      <c r="AH6" s="3">
        <f t="shared" ca="1" si="1"/>
        <v>4.7996510911437968E-3</v>
      </c>
      <c r="AI6" s="3">
        <f t="shared" ca="1" si="1"/>
        <v>3.8040442280412967E-3</v>
      </c>
      <c r="AJ6" s="3">
        <f t="shared" ca="1" si="1"/>
        <v>6.3537933194078655E-3</v>
      </c>
      <c r="AK6" s="3">
        <f t="shared" ca="1" si="1"/>
        <v>8.1796064236215127E-4</v>
      </c>
      <c r="AM6" s="3">
        <f t="shared" ca="1" si="4"/>
        <v>3.5068021608152714E-2</v>
      </c>
    </row>
    <row r="7" spans="1:39" x14ac:dyDescent="0.25">
      <c r="A7" s="3" t="s">
        <v>2</v>
      </c>
      <c r="B7" s="3">
        <v>24</v>
      </c>
      <c r="C7" s="3">
        <v>1</v>
      </c>
      <c r="D7" s="3">
        <v>55963.809000000001</v>
      </c>
      <c r="E7" s="3">
        <v>1.238</v>
      </c>
      <c r="F7" s="3">
        <v>264</v>
      </c>
      <c r="H7" s="3" t="s">
        <v>1</v>
      </c>
      <c r="I7" s="3">
        <v>100</v>
      </c>
      <c r="J7" s="3">
        <v>1</v>
      </c>
      <c r="L7" s="3">
        <f t="shared" ca="1" si="2"/>
        <v>63127.874000000003</v>
      </c>
      <c r="M7" s="3">
        <f t="shared" ca="1" si="0"/>
        <v>63233.201999999997</v>
      </c>
      <c r="N7" s="3">
        <f t="shared" ca="1" si="0"/>
        <v>63205.898000000001</v>
      </c>
      <c r="O7" s="3">
        <f t="shared" ca="1" si="0"/>
        <v>63183.309000000001</v>
      </c>
      <c r="P7" s="3">
        <f t="shared" ca="1" si="0"/>
        <v>63158.133000000002</v>
      </c>
      <c r="Q7" s="3">
        <f t="shared" ca="1" si="0"/>
        <v>63204.728000000003</v>
      </c>
      <c r="R7" s="3">
        <f t="shared" ca="1" si="0"/>
        <v>63115.678999999996</v>
      </c>
      <c r="S7" s="3">
        <f t="shared" ca="1" si="0"/>
        <v>63173.987999999998</v>
      </c>
      <c r="T7" s="3">
        <f t="shared" ca="1" si="0"/>
        <v>63210.7</v>
      </c>
      <c r="U7" s="3">
        <f t="shared" ca="1" si="0"/>
        <v>63098.540999999997</v>
      </c>
      <c r="W7" s="3">
        <f t="shared" ca="1" si="3"/>
        <v>63171.205199999989</v>
      </c>
      <c r="Y7" s="3">
        <f ca="1">Total!E7</f>
        <v>63035.512000000002</v>
      </c>
      <c r="AB7" s="3">
        <f t="shared" ca="1" si="1"/>
        <v>1.4652375632326264E-3</v>
      </c>
      <c r="AC7" s="3">
        <f t="shared" ca="1" si="1"/>
        <v>3.1361687043962622E-3</v>
      </c>
      <c r="AD7" s="3">
        <f t="shared" ca="1" si="1"/>
        <v>2.7030160395936594E-3</v>
      </c>
      <c r="AE7" s="3">
        <f t="shared" ca="1" si="1"/>
        <v>2.3446624816817331E-3</v>
      </c>
      <c r="AF7" s="3">
        <f t="shared" ca="1" si="1"/>
        <v>1.9452685654397347E-3</v>
      </c>
      <c r="AG7" s="3">
        <f t="shared" ca="1" si="1"/>
        <v>2.6844550735147569E-3</v>
      </c>
      <c r="AH7" s="3">
        <f t="shared" ca="1" si="1"/>
        <v>1.2717751860252043E-3</v>
      </c>
      <c r="AI7" s="3">
        <f t="shared" ca="1" si="1"/>
        <v>2.1967934519195324E-3</v>
      </c>
      <c r="AJ7" s="3">
        <f t="shared" ca="1" si="1"/>
        <v>2.7791953208850693E-3</v>
      </c>
      <c r="AK7" s="3">
        <f t="shared" ca="1" si="1"/>
        <v>9.998966931528215E-4</v>
      </c>
      <c r="AM7" s="3">
        <f t="shared" ca="1" si="4"/>
        <v>2.15264690798414E-2</v>
      </c>
    </row>
    <row r="8" spans="1:39" x14ac:dyDescent="0.25">
      <c r="A8" s="3" t="s">
        <v>2</v>
      </c>
      <c r="B8" s="3">
        <v>24</v>
      </c>
      <c r="C8" s="3">
        <v>1</v>
      </c>
      <c r="D8" s="3">
        <v>56011.849000000002</v>
      </c>
      <c r="E8" s="3">
        <v>1.238</v>
      </c>
      <c r="F8" s="3">
        <v>271</v>
      </c>
      <c r="H8" s="3" t="s">
        <v>0</v>
      </c>
      <c r="I8" s="3">
        <v>25</v>
      </c>
      <c r="J8" s="3">
        <v>1</v>
      </c>
      <c r="L8" s="3">
        <f t="shared" ca="1" si="2"/>
        <v>722.93899999999996</v>
      </c>
      <c r="M8" s="3">
        <f t="shared" ca="1" si="0"/>
        <v>723.03599999999994</v>
      </c>
      <c r="N8" s="3">
        <f t="shared" ca="1" si="0"/>
        <v>723.61300000000006</v>
      </c>
      <c r="O8" s="3">
        <f t="shared" ca="1" si="0"/>
        <v>723.48800000000006</v>
      </c>
      <c r="P8" s="3">
        <f t="shared" ca="1" si="0"/>
        <v>723.83100000000002</v>
      </c>
      <c r="Q8" s="3">
        <f t="shared" ca="1" si="0"/>
        <v>722.93899999999996</v>
      </c>
      <c r="R8" s="3">
        <f t="shared" ca="1" si="0"/>
        <v>723.95899999999995</v>
      </c>
      <c r="S8" s="3">
        <f t="shared" ca="1" si="0"/>
        <v>723.56399999999996</v>
      </c>
      <c r="T8" s="3">
        <f t="shared" ca="1" si="0"/>
        <v>723.36400000000003</v>
      </c>
      <c r="U8" s="3">
        <f t="shared" ca="1" si="0"/>
        <v>723.65300000000002</v>
      </c>
      <c r="W8" s="3">
        <f t="shared" ca="1" si="3"/>
        <v>723.43860000000006</v>
      </c>
      <c r="Y8" s="3">
        <f ca="1">Total!E8</f>
        <v>722.92</v>
      </c>
      <c r="AB8" s="3">
        <f t="shared" ca="1" si="1"/>
        <v>2.628229956289141E-5</v>
      </c>
      <c r="AC8" s="3">
        <f t="shared" ca="1" si="1"/>
        <v>1.6046035522600764E-4</v>
      </c>
      <c r="AD8" s="3">
        <f t="shared" ca="1" si="1"/>
        <v>9.5861229458321445E-4</v>
      </c>
      <c r="AE8" s="3">
        <f t="shared" ca="1" si="1"/>
        <v>7.8570242903792584E-4</v>
      </c>
      <c r="AF8" s="3">
        <f t="shared" ca="1" si="1"/>
        <v>1.2601671000941434E-3</v>
      </c>
      <c r="AG8" s="3">
        <f t="shared" ca="1" si="1"/>
        <v>2.628229956289141E-5</v>
      </c>
      <c r="AH8" s="3">
        <f t="shared" ca="1" si="1"/>
        <v>1.437226802412421E-3</v>
      </c>
      <c r="AI8" s="3">
        <f t="shared" ca="1" si="1"/>
        <v>8.9083162728933421E-4</v>
      </c>
      <c r="AJ8" s="3">
        <f t="shared" ca="1" si="1"/>
        <v>6.1417584241696692E-4</v>
      </c>
      <c r="AK8" s="3">
        <f t="shared" ca="1" si="1"/>
        <v>1.0139434515576565E-3</v>
      </c>
      <c r="AM8" s="3">
        <f t="shared" ca="1" si="4"/>
        <v>7.1736845017434528E-3</v>
      </c>
    </row>
    <row r="9" spans="1:39" x14ac:dyDescent="0.25">
      <c r="A9" s="3" t="s">
        <v>2</v>
      </c>
      <c r="B9" s="3">
        <v>24</v>
      </c>
      <c r="C9" s="3">
        <v>1</v>
      </c>
      <c r="D9" s="3">
        <v>56039.995999999999</v>
      </c>
      <c r="E9" s="3">
        <v>1.2370000000000001</v>
      </c>
      <c r="F9" s="3">
        <v>296</v>
      </c>
      <c r="H9" s="3" t="s">
        <v>0</v>
      </c>
      <c r="I9" s="3">
        <v>50</v>
      </c>
      <c r="J9" s="3">
        <v>1</v>
      </c>
      <c r="L9" s="3">
        <f t="shared" ca="1" si="2"/>
        <v>1571.39</v>
      </c>
      <c r="M9" s="3">
        <f t="shared" ca="1" si="0"/>
        <v>1571.2070000000001</v>
      </c>
      <c r="N9" s="3">
        <f t="shared" ca="1" si="0"/>
        <v>1572.123</v>
      </c>
      <c r="O9" s="3">
        <f t="shared" ca="1" si="0"/>
        <v>1572.0129999999999</v>
      </c>
      <c r="P9" s="3">
        <f t="shared" ca="1" si="0"/>
        <v>1571.7449999999999</v>
      </c>
      <c r="Q9" s="3">
        <f t="shared" ca="1" si="0"/>
        <v>1572.546</v>
      </c>
      <c r="R9" s="3">
        <f t="shared" ca="1" si="0"/>
        <v>1571.1020000000001</v>
      </c>
      <c r="S9" s="3">
        <f t="shared" ca="1" si="0"/>
        <v>1570.471</v>
      </c>
      <c r="T9" s="3">
        <f t="shared" ca="1" si="0"/>
        <v>1571.308</v>
      </c>
      <c r="U9" s="3">
        <f t="shared" ca="1" si="0"/>
        <v>1571.4359999999999</v>
      </c>
      <c r="W9" s="3">
        <f t="shared" ca="1" si="3"/>
        <v>1571.5340999999999</v>
      </c>
      <c r="Y9" s="3">
        <f ca="1">Total!E9</f>
        <v>1570.17</v>
      </c>
      <c r="AB9" s="3">
        <f t="shared" ca="1" si="1"/>
        <v>7.7698593145966819E-4</v>
      </c>
      <c r="AC9" s="3">
        <f t="shared" ca="1" si="1"/>
        <v>6.604380417407252E-4</v>
      </c>
      <c r="AD9" s="3">
        <f t="shared" ca="1" si="1"/>
        <v>1.2438143640497363E-3</v>
      </c>
      <c r="AE9" s="3">
        <f t="shared" ca="1" si="1"/>
        <v>1.1737582554754245E-3</v>
      </c>
      <c r="AF9" s="3">
        <f t="shared" ca="1" si="1"/>
        <v>1.0030761000400072E-3</v>
      </c>
      <c r="AG9" s="3">
        <f t="shared" ca="1" si="1"/>
        <v>1.5132119452033704E-3</v>
      </c>
      <c r="AH9" s="3">
        <f t="shared" ca="1" si="1"/>
        <v>5.9356630173803876E-4</v>
      </c>
      <c r="AI9" s="3">
        <f t="shared" ca="1" si="1"/>
        <v>1.9169898800762392E-4</v>
      </c>
      <c r="AJ9" s="3">
        <f t="shared" ca="1" si="1"/>
        <v>7.2476228688608238E-4</v>
      </c>
      <c r="AK9" s="3">
        <f t="shared" ca="1" si="1"/>
        <v>8.0628212231786934E-4</v>
      </c>
      <c r="AM9" s="3">
        <f t="shared" ca="1" si="4"/>
        <v>8.687594336918545E-3</v>
      </c>
    </row>
    <row r="10" spans="1:39" x14ac:dyDescent="0.25">
      <c r="A10" s="3" t="s">
        <v>2</v>
      </c>
      <c r="B10" s="3">
        <v>24</v>
      </c>
      <c r="C10" s="3">
        <v>1</v>
      </c>
      <c r="D10" s="3">
        <v>55984.006999999998</v>
      </c>
      <c r="E10" s="3">
        <v>1.2370000000000001</v>
      </c>
      <c r="F10" s="3">
        <v>267</v>
      </c>
      <c r="H10" s="3" t="s">
        <v>28</v>
      </c>
      <c r="I10" s="3">
        <v>100</v>
      </c>
      <c r="J10" s="3">
        <v>1</v>
      </c>
      <c r="L10" s="3">
        <f t="shared" ca="1" si="2"/>
        <v>3293.011</v>
      </c>
      <c r="M10" s="3">
        <f t="shared" ca="1" si="0"/>
        <v>3296.0680000000002</v>
      </c>
      <c r="N10" s="3">
        <f t="shared" ca="1" si="0"/>
        <v>3297.2539999999999</v>
      </c>
      <c r="O10" s="3">
        <f t="shared" ca="1" si="0"/>
        <v>3298.355</v>
      </c>
      <c r="P10" s="3">
        <f t="shared" ca="1" si="0"/>
        <v>3298.1869999999999</v>
      </c>
      <c r="Q10" s="3">
        <f t="shared" ca="1" si="0"/>
        <v>3297.4940000000001</v>
      </c>
      <c r="R10" s="3">
        <f t="shared" ca="1" si="0"/>
        <v>3295.223</v>
      </c>
      <c r="S10" s="3">
        <f t="shared" ca="1" si="0"/>
        <v>3293.5729999999999</v>
      </c>
      <c r="T10" s="3">
        <f t="shared" ca="1" si="0"/>
        <v>3298.0140000000001</v>
      </c>
      <c r="U10" s="3">
        <f t="shared" ca="1" si="0"/>
        <v>3297.4589999999998</v>
      </c>
      <c r="W10" s="3">
        <f t="shared" ca="1" si="3"/>
        <v>3296.4638</v>
      </c>
      <c r="Y10" s="3">
        <f ca="1">Total!E10</f>
        <v>3290.5340000000001</v>
      </c>
      <c r="AB10" s="3">
        <f t="shared" ca="1" si="1"/>
        <v>7.5276535662596451E-4</v>
      </c>
      <c r="AC10" s="3">
        <f t="shared" ca="1" si="1"/>
        <v>1.6817938972823576E-3</v>
      </c>
      <c r="AD10" s="3">
        <f t="shared" ca="1" si="1"/>
        <v>2.0422217184201106E-3</v>
      </c>
      <c r="AE10" s="3">
        <f t="shared" ca="1" si="1"/>
        <v>2.3768178660363067E-3</v>
      </c>
      <c r="AF10" s="3">
        <f t="shared" ca="1" si="1"/>
        <v>2.3257623230757661E-3</v>
      </c>
      <c r="AG10" s="3">
        <f t="shared" ca="1" si="1"/>
        <v>2.1151582083637596E-3</v>
      </c>
      <c r="AH10" s="3">
        <f t="shared" ca="1" si="1"/>
        <v>1.4249966722726009E-3</v>
      </c>
      <c r="AI10" s="3">
        <f t="shared" ca="1" si="1"/>
        <v>9.2355830391047773E-4</v>
      </c>
      <c r="AJ10" s="3">
        <f t="shared" ca="1" si="1"/>
        <v>2.2731872699081725E-3</v>
      </c>
      <c r="AK10" s="3">
        <f t="shared" ca="1" si="1"/>
        <v>2.1045216369135608E-3</v>
      </c>
      <c r="AM10" s="3">
        <f t="shared" ca="1" si="4"/>
        <v>1.8020783252809078E-2</v>
      </c>
    </row>
    <row r="11" spans="1:39" x14ac:dyDescent="0.25">
      <c r="A11" s="3" t="s">
        <v>2</v>
      </c>
      <c r="B11" s="3">
        <v>47</v>
      </c>
      <c r="C11" s="3">
        <v>1</v>
      </c>
      <c r="D11" s="3">
        <v>126207.124</v>
      </c>
      <c r="E11" s="3">
        <v>4.1449999999999996</v>
      </c>
      <c r="F11" s="3">
        <v>283</v>
      </c>
    </row>
    <row r="12" spans="1:39" x14ac:dyDescent="0.25">
      <c r="A12" s="3" t="s">
        <v>2</v>
      </c>
      <c r="B12" s="3">
        <v>47</v>
      </c>
      <c r="C12" s="3">
        <v>1</v>
      </c>
      <c r="D12" s="3">
        <v>126308.125</v>
      </c>
      <c r="E12" s="3">
        <v>4.1459999999999999</v>
      </c>
      <c r="F12" s="3">
        <v>288</v>
      </c>
    </row>
    <row r="13" spans="1:39" x14ac:dyDescent="0.25">
      <c r="A13" s="3" t="s">
        <v>2</v>
      </c>
      <c r="B13" s="3">
        <v>47</v>
      </c>
      <c r="C13" s="3">
        <v>1</v>
      </c>
      <c r="D13" s="3">
        <v>126173.28599999999</v>
      </c>
      <c r="E13" s="3">
        <v>4.1500000000000004</v>
      </c>
      <c r="F13" s="3">
        <v>293</v>
      </c>
    </row>
    <row r="14" spans="1:39" x14ac:dyDescent="0.25">
      <c r="A14" s="3" t="s">
        <v>2</v>
      </c>
      <c r="B14" s="3">
        <v>47</v>
      </c>
      <c r="C14" s="3">
        <v>1</v>
      </c>
      <c r="D14" s="3">
        <v>126335.946</v>
      </c>
      <c r="E14" s="3">
        <v>4.1449999999999996</v>
      </c>
      <c r="F14" s="3">
        <v>294</v>
      </c>
    </row>
    <row r="15" spans="1:39" x14ac:dyDescent="0.25">
      <c r="A15" s="3" t="s">
        <v>2</v>
      </c>
      <c r="B15" s="3">
        <v>47</v>
      </c>
      <c r="C15" s="3">
        <v>1</v>
      </c>
      <c r="D15" s="3">
        <v>126327.928</v>
      </c>
      <c r="E15" s="3">
        <v>4.1459999999999999</v>
      </c>
      <c r="F15" s="3">
        <v>291</v>
      </c>
    </row>
    <row r="16" spans="1:39" x14ac:dyDescent="0.25">
      <c r="A16" s="3" t="s">
        <v>2</v>
      </c>
      <c r="B16" s="3">
        <v>47</v>
      </c>
      <c r="C16" s="3">
        <v>1</v>
      </c>
      <c r="D16" s="3">
        <v>126370.193</v>
      </c>
      <c r="E16" s="3">
        <v>4.1459999999999999</v>
      </c>
      <c r="F16" s="3">
        <v>268</v>
      </c>
    </row>
    <row r="17" spans="1:6" x14ac:dyDescent="0.25">
      <c r="A17" s="3" t="s">
        <v>2</v>
      </c>
      <c r="B17" s="3">
        <v>47</v>
      </c>
      <c r="C17" s="3">
        <v>1</v>
      </c>
      <c r="D17" s="3">
        <v>126267.345</v>
      </c>
      <c r="E17" s="3">
        <v>4.1470000000000002</v>
      </c>
      <c r="F17" s="3">
        <v>298</v>
      </c>
    </row>
    <row r="18" spans="1:6" x14ac:dyDescent="0.25">
      <c r="A18" s="3" t="s">
        <v>2</v>
      </c>
      <c r="B18" s="3">
        <v>47</v>
      </c>
      <c r="C18" s="3">
        <v>1</v>
      </c>
      <c r="D18" s="3">
        <v>126239.47900000001</v>
      </c>
      <c r="E18" s="3">
        <v>4.1429999999999998</v>
      </c>
      <c r="F18" s="3">
        <v>285</v>
      </c>
    </row>
    <row r="19" spans="1:6" x14ac:dyDescent="0.25">
      <c r="A19" s="3" t="s">
        <v>2</v>
      </c>
      <c r="B19" s="3">
        <v>47</v>
      </c>
      <c r="C19" s="3">
        <v>1</v>
      </c>
      <c r="D19" s="3">
        <v>126219.00599999999</v>
      </c>
      <c r="E19" s="3">
        <v>4.1429999999999998</v>
      </c>
      <c r="F19" s="3">
        <v>288</v>
      </c>
    </row>
    <row r="20" spans="1:6" x14ac:dyDescent="0.25">
      <c r="A20" s="3" t="s">
        <v>2</v>
      </c>
      <c r="B20" s="3">
        <v>47</v>
      </c>
      <c r="C20" s="3">
        <v>1</v>
      </c>
      <c r="D20" s="3">
        <v>126298.99</v>
      </c>
      <c r="E20" s="3">
        <v>4.1470000000000002</v>
      </c>
      <c r="F20" s="3">
        <v>290</v>
      </c>
    </row>
    <row r="21" spans="1:6" x14ac:dyDescent="0.25">
      <c r="A21" s="3" t="s">
        <v>2</v>
      </c>
      <c r="B21" s="3">
        <v>100</v>
      </c>
      <c r="C21" s="3">
        <v>1</v>
      </c>
      <c r="D21" s="3">
        <v>1216668.1769999999</v>
      </c>
      <c r="E21" s="3">
        <v>22.099</v>
      </c>
      <c r="F21" s="3">
        <v>282</v>
      </c>
    </row>
    <row r="22" spans="1:6" x14ac:dyDescent="0.25">
      <c r="A22" s="3" t="s">
        <v>2</v>
      </c>
      <c r="B22" s="3">
        <v>100</v>
      </c>
      <c r="C22" s="3">
        <v>1</v>
      </c>
      <c r="D22" s="3">
        <v>1217845.351</v>
      </c>
      <c r="E22" s="3">
        <v>22.113</v>
      </c>
      <c r="F22" s="3">
        <v>278</v>
      </c>
    </row>
    <row r="23" spans="1:6" x14ac:dyDescent="0.25">
      <c r="A23" s="3" t="s">
        <v>2</v>
      </c>
      <c r="B23" s="3">
        <v>100</v>
      </c>
      <c r="C23" s="3">
        <v>1</v>
      </c>
      <c r="D23" s="3">
        <v>1217581.7050000001</v>
      </c>
      <c r="E23" s="3">
        <v>22.079000000000001</v>
      </c>
      <c r="F23" s="3">
        <v>281</v>
      </c>
    </row>
    <row r="24" spans="1:6" x14ac:dyDescent="0.25">
      <c r="A24" s="3" t="s">
        <v>2</v>
      </c>
      <c r="B24" s="3">
        <v>100</v>
      </c>
      <c r="C24" s="3">
        <v>1</v>
      </c>
      <c r="D24" s="3">
        <v>1216808.5660000001</v>
      </c>
      <c r="E24" s="3">
        <v>22.068000000000001</v>
      </c>
      <c r="F24" s="3">
        <v>283</v>
      </c>
    </row>
    <row r="25" spans="1:6" x14ac:dyDescent="0.25">
      <c r="A25" s="3" t="s">
        <v>2</v>
      </c>
      <c r="B25" s="3">
        <v>100</v>
      </c>
      <c r="C25" s="3">
        <v>1</v>
      </c>
      <c r="D25" s="3">
        <v>1217329.318</v>
      </c>
      <c r="E25" s="3">
        <v>22.09</v>
      </c>
      <c r="F25" s="3">
        <v>287</v>
      </c>
    </row>
    <row r="26" spans="1:6" x14ac:dyDescent="0.25">
      <c r="A26" s="3" t="s">
        <v>2</v>
      </c>
      <c r="B26" s="3">
        <v>100</v>
      </c>
      <c r="C26" s="3">
        <v>1</v>
      </c>
      <c r="D26" s="3">
        <v>1217539.1780000001</v>
      </c>
      <c r="E26" s="3">
        <v>22.106999999999999</v>
      </c>
      <c r="F26" s="3">
        <v>286</v>
      </c>
    </row>
    <row r="27" spans="1:6" x14ac:dyDescent="0.25">
      <c r="A27" s="3" t="s">
        <v>2</v>
      </c>
      <c r="B27" s="3">
        <v>100</v>
      </c>
      <c r="C27" s="3">
        <v>1</v>
      </c>
      <c r="D27" s="3">
        <v>1217073.2819999999</v>
      </c>
      <c r="E27" s="3">
        <v>22.103000000000002</v>
      </c>
      <c r="F27" s="3">
        <v>288</v>
      </c>
    </row>
    <row r="28" spans="1:6" x14ac:dyDescent="0.25">
      <c r="A28" s="3" t="s">
        <v>2</v>
      </c>
      <c r="B28" s="3">
        <v>100</v>
      </c>
      <c r="C28" s="3">
        <v>1</v>
      </c>
      <c r="D28" s="3">
        <v>1216834.4809999999</v>
      </c>
      <c r="E28" s="3">
        <v>22.084</v>
      </c>
      <c r="F28" s="3">
        <v>280</v>
      </c>
    </row>
    <row r="29" spans="1:6" x14ac:dyDescent="0.25">
      <c r="A29" s="3" t="s">
        <v>2</v>
      </c>
      <c r="B29" s="3">
        <v>100</v>
      </c>
      <c r="C29" s="3">
        <v>1</v>
      </c>
      <c r="D29" s="3">
        <v>1217140.7479999999</v>
      </c>
      <c r="E29" s="3">
        <v>22.085000000000001</v>
      </c>
      <c r="F29" s="3">
        <v>282</v>
      </c>
    </row>
    <row r="30" spans="1:6" x14ac:dyDescent="0.25">
      <c r="A30" s="3" t="s">
        <v>2</v>
      </c>
      <c r="B30" s="3">
        <v>100</v>
      </c>
      <c r="C30" s="3">
        <v>1</v>
      </c>
      <c r="D30" s="3">
        <v>1217216.416</v>
      </c>
      <c r="E30" s="3">
        <v>22.102</v>
      </c>
      <c r="F30" s="3">
        <v>286</v>
      </c>
    </row>
    <row r="31" spans="1:6" x14ac:dyDescent="0.25">
      <c r="A31" s="3" t="s">
        <v>1</v>
      </c>
      <c r="B31" s="3">
        <v>30</v>
      </c>
      <c r="C31" s="3">
        <v>1</v>
      </c>
      <c r="D31" s="3">
        <v>19997.453000000001</v>
      </c>
      <c r="E31" s="3">
        <v>1.349</v>
      </c>
      <c r="F31" s="3">
        <v>183</v>
      </c>
    </row>
    <row r="32" spans="1:6" x14ac:dyDescent="0.25">
      <c r="A32" s="3" t="s">
        <v>1</v>
      </c>
      <c r="B32" s="3">
        <v>30</v>
      </c>
      <c r="C32" s="3">
        <v>1</v>
      </c>
      <c r="D32" s="3">
        <v>20053.53</v>
      </c>
      <c r="E32" s="3">
        <v>1.3480000000000001</v>
      </c>
      <c r="F32" s="3">
        <v>183</v>
      </c>
    </row>
    <row r="33" spans="1:6" x14ac:dyDescent="0.25">
      <c r="A33" s="3" t="s">
        <v>1</v>
      </c>
      <c r="B33" s="3">
        <v>30</v>
      </c>
      <c r="C33" s="3">
        <v>1</v>
      </c>
      <c r="D33" s="3">
        <v>20028.837</v>
      </c>
      <c r="E33" s="3">
        <v>1.349</v>
      </c>
      <c r="F33" s="3">
        <v>199</v>
      </c>
    </row>
    <row r="34" spans="1:6" x14ac:dyDescent="0.25">
      <c r="A34" s="3" t="s">
        <v>1</v>
      </c>
      <c r="B34" s="3">
        <v>30</v>
      </c>
      <c r="C34" s="3">
        <v>1</v>
      </c>
      <c r="D34" s="3">
        <v>20037.087</v>
      </c>
      <c r="E34" s="3">
        <v>1.349</v>
      </c>
      <c r="F34" s="3">
        <v>199</v>
      </c>
    </row>
    <row r="35" spans="1:6" x14ac:dyDescent="0.25">
      <c r="A35" s="3" t="s">
        <v>1</v>
      </c>
      <c r="B35" s="3">
        <v>30</v>
      </c>
      <c r="C35" s="3">
        <v>1</v>
      </c>
      <c r="D35" s="3">
        <v>20006.831999999999</v>
      </c>
      <c r="E35" s="3">
        <v>1.35</v>
      </c>
      <c r="F35" s="3">
        <v>186</v>
      </c>
    </row>
    <row r="36" spans="1:6" x14ac:dyDescent="0.25">
      <c r="A36" s="3" t="s">
        <v>1</v>
      </c>
      <c r="B36" s="3">
        <v>30</v>
      </c>
      <c r="C36" s="3">
        <v>1</v>
      </c>
      <c r="D36" s="3">
        <v>20027.116000000002</v>
      </c>
      <c r="E36" s="3">
        <v>1.3460000000000001</v>
      </c>
      <c r="F36" s="3">
        <v>178</v>
      </c>
    </row>
    <row r="37" spans="1:6" x14ac:dyDescent="0.25">
      <c r="A37" s="3" t="s">
        <v>1</v>
      </c>
      <c r="B37" s="3">
        <v>30</v>
      </c>
      <c r="C37" s="3">
        <v>1</v>
      </c>
      <c r="D37" s="3">
        <v>20008.539000000001</v>
      </c>
      <c r="E37" s="3">
        <v>1.351</v>
      </c>
      <c r="F37" s="3">
        <v>181</v>
      </c>
    </row>
    <row r="38" spans="1:6" x14ac:dyDescent="0.25">
      <c r="A38" s="3" t="s">
        <v>1</v>
      </c>
      <c r="B38" s="3">
        <v>30</v>
      </c>
      <c r="C38" s="3">
        <v>1</v>
      </c>
      <c r="D38" s="3">
        <v>19980.168000000001</v>
      </c>
      <c r="E38" s="3">
        <v>1.35</v>
      </c>
      <c r="F38" s="3">
        <v>175</v>
      </c>
    </row>
    <row r="39" spans="1:6" x14ac:dyDescent="0.25">
      <c r="A39" s="3" t="s">
        <v>1</v>
      </c>
      <c r="B39" s="3">
        <v>30</v>
      </c>
      <c r="C39" s="3">
        <v>1</v>
      </c>
      <c r="D39" s="3">
        <v>19999.428</v>
      </c>
      <c r="E39" s="3">
        <v>1.35</v>
      </c>
      <c r="F39" s="3">
        <v>192</v>
      </c>
    </row>
    <row r="40" spans="1:6" x14ac:dyDescent="0.25">
      <c r="A40" s="3" t="s">
        <v>1</v>
      </c>
      <c r="B40" s="3">
        <v>30</v>
      </c>
      <c r="C40" s="3">
        <v>1</v>
      </c>
      <c r="D40" s="3">
        <v>20023.075000000001</v>
      </c>
      <c r="E40" s="3">
        <v>1.3460000000000001</v>
      </c>
      <c r="F40" s="3">
        <v>189</v>
      </c>
    </row>
    <row r="41" spans="1:6" x14ac:dyDescent="0.25">
      <c r="A41" s="3" t="s">
        <v>1</v>
      </c>
      <c r="B41" s="3">
        <v>50</v>
      </c>
      <c r="C41" s="3">
        <v>1</v>
      </c>
      <c r="D41" s="3">
        <v>35354.671000000002</v>
      </c>
      <c r="E41" s="3">
        <v>3.0329999999999999</v>
      </c>
      <c r="F41" s="3">
        <v>164</v>
      </c>
    </row>
    <row r="42" spans="1:6" x14ac:dyDescent="0.25">
      <c r="A42" s="3" t="s">
        <v>1</v>
      </c>
      <c r="B42" s="3">
        <v>50</v>
      </c>
      <c r="C42" s="3">
        <v>1</v>
      </c>
      <c r="D42" s="3">
        <v>35359.307000000001</v>
      </c>
      <c r="E42" s="3">
        <v>3.04</v>
      </c>
      <c r="F42" s="3">
        <v>166</v>
      </c>
    </row>
    <row r="43" spans="1:6" x14ac:dyDescent="0.25">
      <c r="A43" s="3" t="s">
        <v>1</v>
      </c>
      <c r="B43" s="3">
        <v>50</v>
      </c>
      <c r="C43" s="3">
        <v>1</v>
      </c>
      <c r="D43" s="3">
        <v>35415.514999999999</v>
      </c>
      <c r="E43" s="3">
        <v>3.0339999999999998</v>
      </c>
      <c r="F43" s="3">
        <v>166</v>
      </c>
    </row>
    <row r="44" spans="1:6" x14ac:dyDescent="0.25">
      <c r="A44" s="3" t="s">
        <v>1</v>
      </c>
      <c r="B44" s="3">
        <v>50</v>
      </c>
      <c r="C44" s="3">
        <v>1</v>
      </c>
      <c r="D44" s="3">
        <v>35498.1</v>
      </c>
      <c r="E44" s="3">
        <v>3.0350000000000001</v>
      </c>
      <c r="F44" s="3">
        <v>162</v>
      </c>
    </row>
    <row r="45" spans="1:6" x14ac:dyDescent="0.25">
      <c r="A45" s="3" t="s">
        <v>1</v>
      </c>
      <c r="B45" s="3">
        <v>50</v>
      </c>
      <c r="C45" s="3">
        <v>1</v>
      </c>
      <c r="D45" s="3">
        <v>35370.231</v>
      </c>
      <c r="E45" s="3">
        <v>3.0430000000000001</v>
      </c>
      <c r="F45" s="3">
        <v>165</v>
      </c>
    </row>
    <row r="46" spans="1:6" x14ac:dyDescent="0.25">
      <c r="A46" s="3" t="s">
        <v>1</v>
      </c>
      <c r="B46" s="3">
        <v>50</v>
      </c>
      <c r="C46" s="3">
        <v>1</v>
      </c>
      <c r="D46" s="3">
        <v>35350.665000000001</v>
      </c>
      <c r="E46" s="3">
        <v>3.0350000000000001</v>
      </c>
      <c r="F46" s="3">
        <v>166</v>
      </c>
    </row>
    <row r="47" spans="1:6" x14ac:dyDescent="0.25">
      <c r="A47" s="3" t="s">
        <v>1</v>
      </c>
      <c r="B47" s="3">
        <v>50</v>
      </c>
      <c r="C47" s="3">
        <v>1</v>
      </c>
      <c r="D47" s="3">
        <v>35447.303</v>
      </c>
      <c r="E47" s="3">
        <v>3.0459999999999998</v>
      </c>
      <c r="F47" s="3">
        <v>160</v>
      </c>
    </row>
    <row r="48" spans="1:6" x14ac:dyDescent="0.25">
      <c r="A48" s="3" t="s">
        <v>1</v>
      </c>
      <c r="B48" s="3">
        <v>50</v>
      </c>
      <c r="C48" s="3">
        <v>1</v>
      </c>
      <c r="D48" s="3">
        <v>35412.18</v>
      </c>
      <c r="E48" s="3">
        <v>3.0409999999999999</v>
      </c>
      <c r="F48" s="3">
        <v>166</v>
      </c>
    </row>
    <row r="49" spans="1:6" x14ac:dyDescent="0.25">
      <c r="A49" s="3" t="s">
        <v>1</v>
      </c>
      <c r="B49" s="3">
        <v>50</v>
      </c>
      <c r="C49" s="3">
        <v>1</v>
      </c>
      <c r="D49" s="3">
        <v>35502.129999999997</v>
      </c>
      <c r="E49" s="3">
        <v>3.0430000000000001</v>
      </c>
      <c r="F49" s="3">
        <v>165</v>
      </c>
    </row>
    <row r="50" spans="1:6" x14ac:dyDescent="0.25">
      <c r="A50" s="3" t="s">
        <v>1</v>
      </c>
      <c r="B50" s="3">
        <v>50</v>
      </c>
      <c r="C50" s="3">
        <v>1</v>
      </c>
      <c r="D50" s="3">
        <v>35306.837</v>
      </c>
      <c r="E50" s="3">
        <v>3.0449999999999999</v>
      </c>
      <c r="F50" s="3">
        <v>163</v>
      </c>
    </row>
    <row r="51" spans="1:6" x14ac:dyDescent="0.25">
      <c r="A51" s="3" t="s">
        <v>1</v>
      </c>
      <c r="B51" s="3">
        <v>100</v>
      </c>
      <c r="C51" s="3">
        <v>1</v>
      </c>
      <c r="D51" s="3">
        <v>63127.874000000003</v>
      </c>
      <c r="E51" s="3">
        <v>11.721</v>
      </c>
      <c r="F51" s="3">
        <v>152</v>
      </c>
    </row>
    <row r="52" spans="1:6" x14ac:dyDescent="0.25">
      <c r="A52" s="3" t="s">
        <v>1</v>
      </c>
      <c r="B52" s="3">
        <v>100</v>
      </c>
      <c r="C52" s="3">
        <v>1</v>
      </c>
      <c r="D52" s="3">
        <v>63233.201999999997</v>
      </c>
      <c r="E52" s="3">
        <v>11.72</v>
      </c>
      <c r="F52" s="3">
        <v>152</v>
      </c>
    </row>
    <row r="53" spans="1:6" x14ac:dyDescent="0.25">
      <c r="A53" s="3" t="s">
        <v>1</v>
      </c>
      <c r="B53" s="3">
        <v>100</v>
      </c>
      <c r="C53" s="3">
        <v>1</v>
      </c>
      <c r="D53" s="3">
        <v>63205.898000000001</v>
      </c>
      <c r="E53" s="3">
        <v>11.695</v>
      </c>
      <c r="F53" s="3">
        <v>150</v>
      </c>
    </row>
    <row r="54" spans="1:6" x14ac:dyDescent="0.25">
      <c r="A54" s="3" t="s">
        <v>1</v>
      </c>
      <c r="B54" s="3">
        <v>100</v>
      </c>
      <c r="C54" s="3">
        <v>1</v>
      </c>
      <c r="D54" s="3">
        <v>63183.309000000001</v>
      </c>
      <c r="E54" s="3">
        <v>11.718</v>
      </c>
      <c r="F54" s="3">
        <v>153</v>
      </c>
    </row>
    <row r="55" spans="1:6" x14ac:dyDescent="0.25">
      <c r="A55" s="3" t="s">
        <v>1</v>
      </c>
      <c r="B55" s="3">
        <v>100</v>
      </c>
      <c r="C55" s="3">
        <v>1</v>
      </c>
      <c r="D55" s="3">
        <v>63158.133000000002</v>
      </c>
      <c r="E55" s="3">
        <v>11.734</v>
      </c>
      <c r="F55" s="3">
        <v>152</v>
      </c>
    </row>
    <row r="56" spans="1:6" x14ac:dyDescent="0.25">
      <c r="A56" s="3" t="s">
        <v>1</v>
      </c>
      <c r="B56" s="3">
        <v>100</v>
      </c>
      <c r="C56" s="3">
        <v>1</v>
      </c>
      <c r="D56" s="3">
        <v>63204.728000000003</v>
      </c>
      <c r="E56" s="3">
        <v>11.709</v>
      </c>
      <c r="F56" s="3">
        <v>151</v>
      </c>
    </row>
    <row r="57" spans="1:6" x14ac:dyDescent="0.25">
      <c r="A57" s="3" t="s">
        <v>1</v>
      </c>
      <c r="B57" s="3">
        <v>100</v>
      </c>
      <c r="C57" s="3">
        <v>1</v>
      </c>
      <c r="D57" s="3">
        <v>63115.678999999996</v>
      </c>
      <c r="E57" s="3">
        <v>11.680999999999999</v>
      </c>
      <c r="F57" s="3">
        <v>151</v>
      </c>
    </row>
    <row r="58" spans="1:6" x14ac:dyDescent="0.25">
      <c r="A58" s="3" t="s">
        <v>1</v>
      </c>
      <c r="B58" s="3">
        <v>100</v>
      </c>
      <c r="C58" s="3">
        <v>1</v>
      </c>
      <c r="D58" s="3">
        <v>63173.987999999998</v>
      </c>
      <c r="E58" s="3">
        <v>11.72</v>
      </c>
      <c r="F58" s="3">
        <v>153</v>
      </c>
    </row>
    <row r="59" spans="1:6" x14ac:dyDescent="0.25">
      <c r="A59" s="3" t="s">
        <v>1</v>
      </c>
      <c r="B59" s="3">
        <v>100</v>
      </c>
      <c r="C59" s="3">
        <v>1</v>
      </c>
      <c r="D59" s="3">
        <v>63210.7</v>
      </c>
      <c r="E59" s="3">
        <v>11.71</v>
      </c>
      <c r="F59" s="3">
        <v>150</v>
      </c>
    </row>
    <row r="60" spans="1:6" x14ac:dyDescent="0.25">
      <c r="A60" s="3" t="s">
        <v>1</v>
      </c>
      <c r="B60" s="3">
        <v>100</v>
      </c>
      <c r="C60" s="3">
        <v>1</v>
      </c>
      <c r="D60" s="3">
        <v>63098.540999999997</v>
      </c>
      <c r="E60" s="3">
        <v>11.689</v>
      </c>
      <c r="F60" s="3">
        <v>151</v>
      </c>
    </row>
    <row r="61" spans="1:6" x14ac:dyDescent="0.25">
      <c r="A61" s="3" t="s">
        <v>0</v>
      </c>
      <c r="B61" s="3">
        <v>25</v>
      </c>
      <c r="C61" s="3">
        <v>1</v>
      </c>
      <c r="D61" s="3">
        <v>722.93899999999996</v>
      </c>
      <c r="E61" s="3">
        <v>0.90200000000000002</v>
      </c>
      <c r="F61" s="3">
        <v>137</v>
      </c>
    </row>
    <row r="62" spans="1:6" x14ac:dyDescent="0.25">
      <c r="A62" s="3" t="s">
        <v>0</v>
      </c>
      <c r="B62" s="3">
        <v>25</v>
      </c>
      <c r="C62" s="3">
        <v>1</v>
      </c>
      <c r="D62" s="3">
        <v>723.03599999999994</v>
      </c>
      <c r="E62" s="3">
        <v>0.90300000000000002</v>
      </c>
      <c r="F62" s="3">
        <v>195</v>
      </c>
    </row>
    <row r="63" spans="1:6" x14ac:dyDescent="0.25">
      <c r="A63" s="3" t="s">
        <v>0</v>
      </c>
      <c r="B63" s="3">
        <v>25</v>
      </c>
      <c r="C63" s="3">
        <v>1</v>
      </c>
      <c r="D63" s="3">
        <v>723.61300000000006</v>
      </c>
      <c r="E63" s="3">
        <v>0.90800000000000003</v>
      </c>
      <c r="F63" s="3">
        <v>136</v>
      </c>
    </row>
    <row r="64" spans="1:6" x14ac:dyDescent="0.25">
      <c r="A64" s="3" t="s">
        <v>0</v>
      </c>
      <c r="B64" s="3">
        <v>25</v>
      </c>
      <c r="C64" s="3">
        <v>1</v>
      </c>
      <c r="D64" s="3">
        <v>723.48800000000006</v>
      </c>
      <c r="E64" s="3">
        <v>0.90300000000000002</v>
      </c>
      <c r="F64" s="3">
        <v>172</v>
      </c>
    </row>
    <row r="65" spans="1:6" x14ac:dyDescent="0.25">
      <c r="A65" s="3" t="s">
        <v>0</v>
      </c>
      <c r="B65" s="3">
        <v>25</v>
      </c>
      <c r="C65" s="3">
        <v>1</v>
      </c>
      <c r="D65" s="3">
        <v>723.83100000000002</v>
      </c>
      <c r="E65" s="3">
        <v>0.90300000000000002</v>
      </c>
      <c r="F65" s="3">
        <v>152</v>
      </c>
    </row>
    <row r="66" spans="1:6" x14ac:dyDescent="0.25">
      <c r="A66" s="3" t="s">
        <v>0</v>
      </c>
      <c r="B66" s="3">
        <v>25</v>
      </c>
      <c r="C66" s="3">
        <v>1</v>
      </c>
      <c r="D66" s="3">
        <v>722.93899999999996</v>
      </c>
      <c r="E66" s="3">
        <v>0.90200000000000002</v>
      </c>
      <c r="F66" s="3">
        <v>178</v>
      </c>
    </row>
    <row r="67" spans="1:6" x14ac:dyDescent="0.25">
      <c r="A67" s="3" t="s">
        <v>0</v>
      </c>
      <c r="B67" s="3">
        <v>25</v>
      </c>
      <c r="C67" s="3">
        <v>1</v>
      </c>
      <c r="D67" s="3">
        <v>723.95899999999995</v>
      </c>
      <c r="E67" s="3">
        <v>0.90400000000000003</v>
      </c>
      <c r="F67" s="3">
        <v>148</v>
      </c>
    </row>
    <row r="68" spans="1:6" x14ac:dyDescent="0.25">
      <c r="A68" s="3" t="s">
        <v>0</v>
      </c>
      <c r="B68" s="3">
        <v>25</v>
      </c>
      <c r="C68" s="3">
        <v>1</v>
      </c>
      <c r="D68" s="3">
        <v>723.56399999999996</v>
      </c>
      <c r="E68" s="3">
        <v>0.90500000000000003</v>
      </c>
      <c r="F68" s="3">
        <v>169</v>
      </c>
    </row>
    <row r="69" spans="1:6" x14ac:dyDescent="0.25">
      <c r="A69" s="3" t="s">
        <v>0</v>
      </c>
      <c r="B69" s="3">
        <v>25</v>
      </c>
      <c r="C69" s="3">
        <v>1</v>
      </c>
      <c r="D69" s="3">
        <v>723.36400000000003</v>
      </c>
      <c r="E69" s="3">
        <v>0.90500000000000003</v>
      </c>
      <c r="F69" s="3">
        <v>147</v>
      </c>
    </row>
    <row r="70" spans="1:6" x14ac:dyDescent="0.25">
      <c r="A70" s="3" t="s">
        <v>0</v>
      </c>
      <c r="B70" s="3">
        <v>25</v>
      </c>
      <c r="C70" s="3">
        <v>1</v>
      </c>
      <c r="D70" s="3">
        <v>723.65300000000002</v>
      </c>
      <c r="E70" s="3">
        <v>0.90200000000000002</v>
      </c>
      <c r="F70" s="3">
        <v>177</v>
      </c>
    </row>
    <row r="71" spans="1:6" x14ac:dyDescent="0.25">
      <c r="A71" s="3" t="s">
        <v>0</v>
      </c>
      <c r="B71" s="3">
        <v>50</v>
      </c>
      <c r="C71" s="3">
        <v>1</v>
      </c>
      <c r="D71" s="3">
        <v>1571.39</v>
      </c>
      <c r="E71" s="3">
        <v>3.379</v>
      </c>
      <c r="F71" s="3">
        <v>198</v>
      </c>
    </row>
    <row r="72" spans="1:6" x14ac:dyDescent="0.25">
      <c r="A72" s="3" t="s">
        <v>0</v>
      </c>
      <c r="B72" s="3">
        <v>50</v>
      </c>
      <c r="C72" s="3">
        <v>1</v>
      </c>
      <c r="D72" s="3">
        <v>1571.2070000000001</v>
      </c>
      <c r="E72" s="3">
        <v>3.37</v>
      </c>
      <c r="F72" s="3">
        <v>198</v>
      </c>
    </row>
    <row r="73" spans="1:6" x14ac:dyDescent="0.25">
      <c r="A73" s="3" t="s">
        <v>0</v>
      </c>
      <c r="B73" s="3">
        <v>50</v>
      </c>
      <c r="C73" s="3">
        <v>1</v>
      </c>
      <c r="D73" s="3">
        <v>1572.123</v>
      </c>
      <c r="E73" s="3">
        <v>3.3719999999999999</v>
      </c>
      <c r="F73" s="3">
        <v>205</v>
      </c>
    </row>
    <row r="74" spans="1:6" x14ac:dyDescent="0.25">
      <c r="A74" s="3" t="s">
        <v>0</v>
      </c>
      <c r="B74" s="3">
        <v>50</v>
      </c>
      <c r="C74" s="3">
        <v>1</v>
      </c>
      <c r="D74" s="3">
        <v>1572.0129999999999</v>
      </c>
      <c r="E74" s="3">
        <v>3.3839999999999999</v>
      </c>
      <c r="F74" s="3">
        <v>199</v>
      </c>
    </row>
    <row r="75" spans="1:6" x14ac:dyDescent="0.25">
      <c r="A75" s="3" t="s">
        <v>0</v>
      </c>
      <c r="B75" s="3">
        <v>50</v>
      </c>
      <c r="C75" s="3">
        <v>1</v>
      </c>
      <c r="D75" s="3">
        <v>1571.7449999999999</v>
      </c>
      <c r="E75" s="3">
        <v>3.3740000000000001</v>
      </c>
      <c r="F75" s="3">
        <v>187</v>
      </c>
    </row>
    <row r="76" spans="1:6" x14ac:dyDescent="0.25">
      <c r="A76" s="3" t="s">
        <v>0</v>
      </c>
      <c r="B76" s="3">
        <v>50</v>
      </c>
      <c r="C76" s="3">
        <v>1</v>
      </c>
      <c r="D76" s="3">
        <v>1572.546</v>
      </c>
      <c r="E76" s="3">
        <v>3.3730000000000002</v>
      </c>
      <c r="F76" s="3">
        <v>189</v>
      </c>
    </row>
    <row r="77" spans="1:6" x14ac:dyDescent="0.25">
      <c r="A77" s="3" t="s">
        <v>0</v>
      </c>
      <c r="B77" s="3">
        <v>50</v>
      </c>
      <c r="C77" s="3">
        <v>1</v>
      </c>
      <c r="D77" s="3">
        <v>1571.1020000000001</v>
      </c>
      <c r="E77" s="3">
        <v>3.3769999999999998</v>
      </c>
      <c r="F77" s="3">
        <v>186</v>
      </c>
    </row>
    <row r="78" spans="1:6" x14ac:dyDescent="0.25">
      <c r="A78" s="3" t="s">
        <v>0</v>
      </c>
      <c r="B78" s="3">
        <v>50</v>
      </c>
      <c r="C78" s="3">
        <v>1</v>
      </c>
      <c r="D78" s="3">
        <v>1570.471</v>
      </c>
      <c r="E78" s="3">
        <v>3.3769999999999998</v>
      </c>
      <c r="F78" s="3">
        <v>193</v>
      </c>
    </row>
    <row r="79" spans="1:6" x14ac:dyDescent="0.25">
      <c r="A79" s="3" t="s">
        <v>0</v>
      </c>
      <c r="B79" s="3">
        <v>50</v>
      </c>
      <c r="C79" s="3">
        <v>1</v>
      </c>
      <c r="D79" s="3">
        <v>1571.308</v>
      </c>
      <c r="E79" s="3">
        <v>3.3690000000000002</v>
      </c>
      <c r="F79" s="3">
        <v>189</v>
      </c>
    </row>
    <row r="80" spans="1:6" x14ac:dyDescent="0.25">
      <c r="A80" s="3" t="s">
        <v>0</v>
      </c>
      <c r="B80" s="3">
        <v>50</v>
      </c>
      <c r="C80" s="3">
        <v>1</v>
      </c>
      <c r="D80" s="3">
        <v>1571.4359999999999</v>
      </c>
      <c r="E80" s="3">
        <v>3.37</v>
      </c>
      <c r="F80" s="3">
        <v>199</v>
      </c>
    </row>
    <row r="81" spans="1:6" x14ac:dyDescent="0.25">
      <c r="A81" s="3" t="s">
        <v>0</v>
      </c>
      <c r="B81" s="3">
        <v>100</v>
      </c>
      <c r="C81" s="3">
        <v>1</v>
      </c>
      <c r="D81" s="3">
        <v>3293.011</v>
      </c>
      <c r="E81" s="3">
        <v>11.333</v>
      </c>
      <c r="F81" s="3">
        <v>153</v>
      </c>
    </row>
    <row r="82" spans="1:6" x14ac:dyDescent="0.25">
      <c r="A82" s="3" t="s">
        <v>0</v>
      </c>
      <c r="B82" s="3">
        <v>100</v>
      </c>
      <c r="C82" s="3">
        <v>1</v>
      </c>
      <c r="D82" s="3">
        <v>3296.0680000000002</v>
      </c>
      <c r="E82" s="3">
        <v>11.351000000000001</v>
      </c>
      <c r="F82" s="3">
        <v>152</v>
      </c>
    </row>
    <row r="83" spans="1:6" x14ac:dyDescent="0.25">
      <c r="A83" s="3" t="s">
        <v>0</v>
      </c>
      <c r="B83" s="3">
        <v>100</v>
      </c>
      <c r="C83" s="3">
        <v>1</v>
      </c>
      <c r="D83" s="3">
        <v>3297.2539999999999</v>
      </c>
      <c r="E83" s="3">
        <v>11.353</v>
      </c>
      <c r="F83" s="3">
        <v>150</v>
      </c>
    </row>
    <row r="84" spans="1:6" x14ac:dyDescent="0.25">
      <c r="A84" s="3" t="s">
        <v>0</v>
      </c>
      <c r="B84" s="3">
        <v>100</v>
      </c>
      <c r="C84" s="3">
        <v>1</v>
      </c>
      <c r="D84" s="3">
        <v>3298.355</v>
      </c>
      <c r="E84" s="3">
        <v>11.326000000000001</v>
      </c>
      <c r="F84" s="3">
        <v>150</v>
      </c>
    </row>
    <row r="85" spans="1:6" x14ac:dyDescent="0.25">
      <c r="A85" s="3" t="s">
        <v>0</v>
      </c>
      <c r="B85" s="3">
        <v>100</v>
      </c>
      <c r="C85" s="3">
        <v>1</v>
      </c>
      <c r="D85" s="3">
        <v>3298.1869999999999</v>
      </c>
      <c r="E85" s="3">
        <v>11.332000000000001</v>
      </c>
      <c r="F85" s="3">
        <v>153</v>
      </c>
    </row>
    <row r="86" spans="1:6" x14ac:dyDescent="0.25">
      <c r="A86" s="3" t="s">
        <v>0</v>
      </c>
      <c r="B86" s="3">
        <v>100</v>
      </c>
      <c r="C86" s="3">
        <v>1</v>
      </c>
      <c r="D86" s="3">
        <v>3297.4940000000001</v>
      </c>
      <c r="E86" s="3">
        <v>11.326000000000001</v>
      </c>
      <c r="F86" s="3">
        <v>152</v>
      </c>
    </row>
    <row r="87" spans="1:6" x14ac:dyDescent="0.25">
      <c r="A87" s="3" t="s">
        <v>0</v>
      </c>
      <c r="B87" s="3">
        <v>100</v>
      </c>
      <c r="C87" s="3">
        <v>1</v>
      </c>
      <c r="D87" s="3">
        <v>3295.223</v>
      </c>
      <c r="E87" s="3">
        <v>11.349</v>
      </c>
      <c r="F87" s="3">
        <v>150</v>
      </c>
    </row>
    <row r="88" spans="1:6" x14ac:dyDescent="0.25">
      <c r="A88" s="3" t="s">
        <v>0</v>
      </c>
      <c r="B88" s="3">
        <v>100</v>
      </c>
      <c r="C88" s="3">
        <v>1</v>
      </c>
      <c r="D88" s="3">
        <v>3293.5729999999999</v>
      </c>
      <c r="E88" s="3">
        <v>11.308999999999999</v>
      </c>
      <c r="F88" s="3">
        <v>151</v>
      </c>
    </row>
    <row r="89" spans="1:6" x14ac:dyDescent="0.25">
      <c r="A89" s="3" t="s">
        <v>0</v>
      </c>
      <c r="B89" s="3">
        <v>100</v>
      </c>
      <c r="C89" s="3">
        <v>1</v>
      </c>
      <c r="D89" s="3">
        <v>3298.0140000000001</v>
      </c>
      <c r="E89" s="3">
        <v>11.324</v>
      </c>
      <c r="F89" s="3">
        <v>151</v>
      </c>
    </row>
    <row r="90" spans="1:6" x14ac:dyDescent="0.25">
      <c r="A90" s="3" t="s">
        <v>0</v>
      </c>
      <c r="B90" s="3">
        <v>100</v>
      </c>
      <c r="C90" s="3">
        <v>1</v>
      </c>
      <c r="D90" s="3">
        <v>3297.4589999999998</v>
      </c>
      <c r="E90" s="3">
        <v>11.349</v>
      </c>
      <c r="F90" s="3">
        <v>150</v>
      </c>
    </row>
  </sheetData>
  <phoneticPr fontId="1" type="noConversion"/>
  <pageMargins left="0.7" right="0.7" top="0.75" bottom="0.75" header="0.3" footer="0.3"/>
  <pageSetup paperSize="152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0"/>
  <sheetViews>
    <sheetView zoomScale="85" zoomScaleNormal="85" workbookViewId="0">
      <selection sqref="A1:F91"/>
    </sheetView>
  </sheetViews>
  <sheetFormatPr defaultColWidth="9" defaultRowHeight="15" x14ac:dyDescent="0.25"/>
  <cols>
    <col min="1" max="1" width="9.75" style="3" customWidth="1"/>
    <col min="2" max="2" width="4.375" style="3" bestFit="1" customWidth="1"/>
    <col min="3" max="3" width="2.625" style="3" bestFit="1" customWidth="1"/>
    <col min="4" max="4" width="9.75" style="3" customWidth="1"/>
    <col min="5" max="5" width="7" style="3" bestFit="1" customWidth="1"/>
    <col min="6" max="6" width="4.375" style="3" bestFit="1" customWidth="1"/>
    <col min="7" max="7" width="3.125" style="3" customWidth="1"/>
    <col min="8" max="8" width="9.75" style="3" customWidth="1"/>
    <col min="9" max="9" width="4.375" style="3" bestFit="1" customWidth="1"/>
    <col min="10" max="10" width="3.125" style="3" bestFit="1" customWidth="1"/>
    <col min="11" max="11" width="2.875" style="3" customWidth="1"/>
    <col min="12" max="21" width="9" style="3"/>
    <col min="22" max="22" width="3.25" style="3" customWidth="1"/>
    <col min="23" max="23" width="9" style="3"/>
    <col min="24" max="24" width="2.25" style="3" customWidth="1"/>
    <col min="25" max="25" width="9" style="3"/>
    <col min="26" max="26" width="2.5" style="3" customWidth="1"/>
    <col min="27" max="27" width="2.25" style="3" customWidth="1"/>
    <col min="28" max="37" width="9" style="3"/>
    <col min="38" max="38" width="5.625" style="3" customWidth="1"/>
    <col min="39" max="16384" width="9" style="3"/>
  </cols>
  <sheetData>
    <row r="1" spans="1:39" x14ac:dyDescent="0.25">
      <c r="A1" s="3" t="s">
        <v>2</v>
      </c>
      <c r="B1" s="3">
        <v>24</v>
      </c>
      <c r="C1" s="3">
        <v>1</v>
      </c>
      <c r="D1" s="3">
        <v>56041.036</v>
      </c>
      <c r="E1" s="3">
        <v>1.238</v>
      </c>
      <c r="F1" s="3">
        <v>251</v>
      </c>
      <c r="H1" s="5" t="s">
        <v>13</v>
      </c>
      <c r="I1" s="5" t="s">
        <v>14</v>
      </c>
      <c r="J1" s="5" t="s">
        <v>10</v>
      </c>
      <c r="K1" s="2"/>
      <c r="L1" s="2">
        <v>1</v>
      </c>
      <c r="M1" s="2">
        <v>2</v>
      </c>
      <c r="N1" s="2">
        <v>3</v>
      </c>
      <c r="O1" s="2">
        <v>4</v>
      </c>
      <c r="P1" s="2">
        <v>5</v>
      </c>
      <c r="Q1" s="2">
        <v>6</v>
      </c>
      <c r="R1" s="2">
        <v>7</v>
      </c>
      <c r="S1" s="2">
        <v>8</v>
      </c>
      <c r="T1" s="2">
        <v>9</v>
      </c>
      <c r="U1" s="2">
        <v>10</v>
      </c>
      <c r="W1" s="2" t="s">
        <v>11</v>
      </c>
      <c r="X1" s="2"/>
      <c r="Y1" s="2" t="s">
        <v>9</v>
      </c>
      <c r="Z1" s="2"/>
      <c r="AM1" s="5" t="s">
        <v>12</v>
      </c>
    </row>
    <row r="2" spans="1:39" x14ac:dyDescent="0.25">
      <c r="A2" s="3" t="s">
        <v>2</v>
      </c>
      <c r="B2" s="3">
        <v>24</v>
      </c>
      <c r="C2" s="3">
        <v>1</v>
      </c>
      <c r="D2" s="3">
        <v>55999.815000000002</v>
      </c>
      <c r="E2" s="3">
        <v>1.2390000000000001</v>
      </c>
      <c r="F2" s="3">
        <v>293</v>
      </c>
      <c r="H2" s="3" t="s">
        <v>2</v>
      </c>
      <c r="I2" s="3">
        <v>24</v>
      </c>
      <c r="J2" s="3">
        <v>1</v>
      </c>
      <c r="L2" s="3">
        <f ca="1">INDIRECT("D"&amp;1+(ROW(D1)-1)*10+COLUMN(A1)-1)</f>
        <v>56041.036</v>
      </c>
      <c r="M2" s="3">
        <f t="shared" ref="M2:U10" ca="1" si="0">INDIRECT("D"&amp;1+(ROW(E1)-1)*10+COLUMN(B1)-1)</f>
        <v>55999.815000000002</v>
      </c>
      <c r="N2" s="3">
        <f t="shared" ca="1" si="0"/>
        <v>55995.116000000002</v>
      </c>
      <c r="O2" s="3">
        <f t="shared" ca="1" si="0"/>
        <v>55992.987999999998</v>
      </c>
      <c r="P2" s="3">
        <f t="shared" ca="1" si="0"/>
        <v>55979.85</v>
      </c>
      <c r="Q2" s="3">
        <f t="shared" ca="1" si="0"/>
        <v>56166.449000000001</v>
      </c>
      <c r="R2" s="3">
        <f t="shared" ca="1" si="0"/>
        <v>56064.712</v>
      </c>
      <c r="S2" s="3">
        <f t="shared" ca="1" si="0"/>
        <v>56015.466999999997</v>
      </c>
      <c r="T2" s="3">
        <f t="shared" ca="1" si="0"/>
        <v>56024.629000000001</v>
      </c>
      <c r="U2" s="3">
        <f t="shared" ca="1" si="0"/>
        <v>55982.313999999998</v>
      </c>
      <c r="W2" s="3">
        <f ca="1">AVERAGE(L2:U2)</f>
        <v>56026.237600000008</v>
      </c>
      <c r="Y2" s="3">
        <f ca="1">Total!E2</f>
        <v>55722.476000000002</v>
      </c>
      <c r="AB2" s="3">
        <f t="shared" ref="AB2:AK10" ca="1" si="1">(L2-$Y2)/$Y2</f>
        <v>5.7169031756592733E-3</v>
      </c>
      <c r="AC2" s="3">
        <f t="shared" ca="1" si="1"/>
        <v>4.9771478209259751E-3</v>
      </c>
      <c r="AD2" s="3">
        <f t="shared" ca="1" si="1"/>
        <v>4.8928191920258428E-3</v>
      </c>
      <c r="AE2" s="3">
        <f t="shared" ca="1" si="1"/>
        <v>4.8546299342476307E-3</v>
      </c>
      <c r="AF2" s="3">
        <f t="shared" ca="1" si="1"/>
        <v>4.6188543380591366E-3</v>
      </c>
      <c r="AG2" s="3">
        <f t="shared" ca="1" si="1"/>
        <v>7.9675748794794787E-3</v>
      </c>
      <c r="AH2" s="3">
        <f t="shared" ca="1" si="1"/>
        <v>6.1417945606005936E-3</v>
      </c>
      <c r="AI2" s="3">
        <f t="shared" ca="1" si="1"/>
        <v>5.2580398616887472E-3</v>
      </c>
      <c r="AJ2" s="3">
        <f t="shared" ca="1" si="1"/>
        <v>5.4224618446602844E-3</v>
      </c>
      <c r="AK2" s="3">
        <f t="shared" ca="1" si="1"/>
        <v>4.6630734786443457E-3</v>
      </c>
      <c r="AM2" s="3">
        <f ca="1">SUM(AB2:AK2)</f>
        <v>5.4513299085991306E-2</v>
      </c>
    </row>
    <row r="3" spans="1:39" x14ac:dyDescent="0.25">
      <c r="A3" s="3" t="s">
        <v>2</v>
      </c>
      <c r="B3" s="3">
        <v>24</v>
      </c>
      <c r="C3" s="3">
        <v>1</v>
      </c>
      <c r="D3" s="3">
        <v>55995.116000000002</v>
      </c>
      <c r="E3" s="3">
        <v>1.2370000000000001</v>
      </c>
      <c r="F3" s="3">
        <v>276</v>
      </c>
      <c r="H3" s="3" t="s">
        <v>2</v>
      </c>
      <c r="I3" s="3">
        <v>47</v>
      </c>
      <c r="J3" s="3">
        <v>1</v>
      </c>
      <c r="L3" s="3">
        <f t="shared" ref="L3:L10" ca="1" si="2">INDIRECT("D"&amp;1+(ROW(D2)-1)*10+COLUMN(A2)-1)</f>
        <v>126352.11900000001</v>
      </c>
      <c r="M3" s="3">
        <f t="shared" ca="1" si="0"/>
        <v>126292.645</v>
      </c>
      <c r="N3" s="3">
        <f t="shared" ca="1" si="0"/>
        <v>126379.307</v>
      </c>
      <c r="O3" s="3">
        <f t="shared" ca="1" si="0"/>
        <v>126328.39200000001</v>
      </c>
      <c r="P3" s="3">
        <f t="shared" ca="1" si="0"/>
        <v>126379.567</v>
      </c>
      <c r="Q3" s="3">
        <f t="shared" ca="1" si="0"/>
        <v>126191.219</v>
      </c>
      <c r="R3" s="3">
        <f t="shared" ca="1" si="0"/>
        <v>126215.444</v>
      </c>
      <c r="S3" s="3">
        <f t="shared" ca="1" si="0"/>
        <v>126225.64599999999</v>
      </c>
      <c r="T3" s="3">
        <f t="shared" ca="1" si="0"/>
        <v>126492.455</v>
      </c>
      <c r="U3" s="3">
        <f t="shared" ca="1" si="0"/>
        <v>126230.257</v>
      </c>
      <c r="W3" s="3">
        <f t="shared" ref="W3:W10" ca="1" si="3">AVERAGE(L3:U3)</f>
        <v>126308.70509999999</v>
      </c>
      <c r="Y3" s="3">
        <f ca="1">Total!E3</f>
        <v>126021.209</v>
      </c>
      <c r="AB3" s="3">
        <f t="shared" ca="1" si="1"/>
        <v>2.6258278477554005E-3</v>
      </c>
      <c r="AC3" s="3">
        <f t="shared" ca="1" si="1"/>
        <v>2.1538914136270625E-3</v>
      </c>
      <c r="AD3" s="3">
        <f t="shared" ca="1" si="1"/>
        <v>2.8415693107657629E-3</v>
      </c>
      <c r="AE3" s="3">
        <f t="shared" ca="1" si="1"/>
        <v>2.4375500158866476E-3</v>
      </c>
      <c r="AF3" s="3">
        <f t="shared" ca="1" si="1"/>
        <v>2.8436324555495486E-3</v>
      </c>
      <c r="AG3" s="3">
        <f t="shared" ca="1" si="1"/>
        <v>1.3490586334558555E-3</v>
      </c>
      <c r="AH3" s="3">
        <f t="shared" ca="1" si="1"/>
        <v>1.5412881811029172E-3</v>
      </c>
      <c r="AI3" s="3">
        <f t="shared" ca="1" si="1"/>
        <v>1.6222428083513371E-3</v>
      </c>
      <c r="AJ3" s="3">
        <f t="shared" ca="1" si="1"/>
        <v>3.7394181799985681E-3</v>
      </c>
      <c r="AK3" s="3">
        <f t="shared" ca="1" si="1"/>
        <v>1.6588318875753304E-3</v>
      </c>
      <c r="AM3" s="3">
        <f t="shared" ref="AM3:AM10" ca="1" si="4">SUM(AB3:AK3)</f>
        <v>2.2813310734068427E-2</v>
      </c>
    </row>
    <row r="4" spans="1:39" x14ac:dyDescent="0.25">
      <c r="A4" s="3" t="s">
        <v>2</v>
      </c>
      <c r="B4" s="3">
        <v>24</v>
      </c>
      <c r="C4" s="3">
        <v>1</v>
      </c>
      <c r="D4" s="3">
        <v>55992.987999999998</v>
      </c>
      <c r="E4" s="3">
        <v>1.238</v>
      </c>
      <c r="F4" s="3">
        <v>274</v>
      </c>
      <c r="H4" s="3" t="s">
        <v>2</v>
      </c>
      <c r="I4" s="3">
        <v>100</v>
      </c>
      <c r="J4" s="3">
        <v>1</v>
      </c>
      <c r="L4" s="3">
        <f t="shared" ca="1" si="2"/>
        <v>1216934.0889999999</v>
      </c>
      <c r="M4" s="3">
        <f t="shared" ca="1" si="0"/>
        <v>1216723.9140000001</v>
      </c>
      <c r="N4" s="3">
        <f t="shared" ca="1" si="0"/>
        <v>1216719.2560000001</v>
      </c>
      <c r="O4" s="3">
        <f t="shared" ca="1" si="0"/>
        <v>1216631.233</v>
      </c>
      <c r="P4" s="3">
        <f t="shared" ca="1" si="0"/>
        <v>1216955.4069999999</v>
      </c>
      <c r="Q4" s="3">
        <f t="shared" ca="1" si="0"/>
        <v>1216907.9750000001</v>
      </c>
      <c r="R4" s="3">
        <f t="shared" ca="1" si="0"/>
        <v>1217172.0020000001</v>
      </c>
      <c r="S4" s="3">
        <f t="shared" ca="1" si="0"/>
        <v>1217000.8289999999</v>
      </c>
      <c r="T4" s="3">
        <f t="shared" ca="1" si="0"/>
        <v>1216819.675</v>
      </c>
      <c r="U4" s="3">
        <f t="shared" ca="1" si="0"/>
        <v>1217287.26</v>
      </c>
      <c r="W4" s="3">
        <f t="shared" ca="1" si="3"/>
        <v>1216915.1640000001</v>
      </c>
      <c r="Y4" s="3">
        <f ca="1">Total!E4</f>
        <v>1216556.6340000001</v>
      </c>
      <c r="AB4" s="3">
        <f t="shared" ca="1" si="1"/>
        <v>3.1026504599196626E-4</v>
      </c>
      <c r="AC4" s="3">
        <f t="shared" ca="1" si="1"/>
        <v>1.3750284641498073E-4</v>
      </c>
      <c r="AD4" s="3">
        <f t="shared" ca="1" si="1"/>
        <v>1.33674006992406E-4</v>
      </c>
      <c r="AE4" s="3">
        <f t="shared" ca="1" si="1"/>
        <v>6.1319792202891571E-5</v>
      </c>
      <c r="AF4" s="3">
        <f t="shared" ca="1" si="1"/>
        <v>3.2778827458994553E-4</v>
      </c>
      <c r="AG4" s="3">
        <f t="shared" ca="1" si="1"/>
        <v>2.8879954305523507E-4</v>
      </c>
      <c r="AH4" s="3">
        <f t="shared" ca="1" si="1"/>
        <v>5.0582766375347941E-4</v>
      </c>
      <c r="AI4" s="3">
        <f t="shared" ca="1" si="1"/>
        <v>3.6512480190859105E-4</v>
      </c>
      <c r="AJ4" s="3">
        <f t="shared" ca="1" si="1"/>
        <v>2.1621763644089282E-4</v>
      </c>
      <c r="AK4" s="3">
        <f t="shared" ca="1" si="1"/>
        <v>6.005688346769815E-4</v>
      </c>
      <c r="AM4" s="3">
        <f t="shared" ca="1" si="4"/>
        <v>2.94708844602737E-3</v>
      </c>
    </row>
    <row r="5" spans="1:39" x14ac:dyDescent="0.25">
      <c r="A5" s="3" t="s">
        <v>2</v>
      </c>
      <c r="B5" s="3">
        <v>24</v>
      </c>
      <c r="C5" s="3">
        <v>1</v>
      </c>
      <c r="D5" s="3">
        <v>55979.85</v>
      </c>
      <c r="E5" s="3">
        <v>1.2370000000000001</v>
      </c>
      <c r="F5" s="3">
        <v>266</v>
      </c>
      <c r="H5" s="3" t="s">
        <v>1</v>
      </c>
      <c r="I5" s="3">
        <v>30</v>
      </c>
      <c r="J5" s="3">
        <v>1</v>
      </c>
      <c r="L5" s="3">
        <f t="shared" ca="1" si="2"/>
        <v>20060.847000000002</v>
      </c>
      <c r="M5" s="3">
        <f t="shared" ca="1" si="0"/>
        <v>20023.058000000001</v>
      </c>
      <c r="N5" s="3">
        <f t="shared" ca="1" si="0"/>
        <v>20015.705000000002</v>
      </c>
      <c r="O5" s="3">
        <f t="shared" ca="1" si="0"/>
        <v>20016.603999999999</v>
      </c>
      <c r="P5" s="3">
        <f t="shared" ca="1" si="0"/>
        <v>20003.255000000001</v>
      </c>
      <c r="Q5" s="3">
        <f t="shared" ca="1" si="0"/>
        <v>20041.516</v>
      </c>
      <c r="R5" s="3">
        <f t="shared" ca="1" si="0"/>
        <v>19985.143</v>
      </c>
      <c r="S5" s="3">
        <f t="shared" ca="1" si="0"/>
        <v>20005.47</v>
      </c>
      <c r="T5" s="3">
        <f t="shared" ca="1" si="0"/>
        <v>20014.243999999999</v>
      </c>
      <c r="U5" s="3">
        <f t="shared" ca="1" si="0"/>
        <v>20014.501</v>
      </c>
      <c r="W5" s="3">
        <f t="shared" ca="1" si="3"/>
        <v>20018.034300000003</v>
      </c>
      <c r="Y5" s="3">
        <f ca="1">Total!E5</f>
        <v>19969.536</v>
      </c>
      <c r="AB5" s="3">
        <f t="shared" ca="1" si="1"/>
        <v>4.5725148546266426E-3</v>
      </c>
      <c r="AC5" s="3">
        <f t="shared" ca="1" si="1"/>
        <v>2.6801824539138437E-3</v>
      </c>
      <c r="AD5" s="3">
        <f t="shared" ca="1" si="1"/>
        <v>2.311971595133792E-3</v>
      </c>
      <c r="AE5" s="3">
        <f t="shared" ca="1" si="1"/>
        <v>2.3569901674229837E-3</v>
      </c>
      <c r="AF5" s="3">
        <f t="shared" ca="1" si="1"/>
        <v>1.6885219566444088E-3</v>
      </c>
      <c r="AG5" s="3">
        <f t="shared" ca="1" si="1"/>
        <v>3.6044903597158974E-3</v>
      </c>
      <c r="AH5" s="3">
        <f t="shared" ca="1" si="1"/>
        <v>7.8154044240186509E-4</v>
      </c>
      <c r="AI5" s="3">
        <f t="shared" ca="1" si="1"/>
        <v>1.7994409083917176E-3</v>
      </c>
      <c r="AJ5" s="3">
        <f t="shared" ca="1" si="1"/>
        <v>2.2388101556289901E-3</v>
      </c>
      <c r="AK5" s="3">
        <f t="shared" ca="1" si="1"/>
        <v>2.2516797586083193E-3</v>
      </c>
      <c r="AM5" s="3">
        <f t="shared" ca="1" si="4"/>
        <v>2.4286142652488459E-2</v>
      </c>
    </row>
    <row r="6" spans="1:39" x14ac:dyDescent="0.25">
      <c r="A6" s="3" t="s">
        <v>2</v>
      </c>
      <c r="B6" s="3">
        <v>24</v>
      </c>
      <c r="C6" s="3">
        <v>1</v>
      </c>
      <c r="D6" s="3">
        <v>56166.449000000001</v>
      </c>
      <c r="E6" s="3">
        <v>1.238</v>
      </c>
      <c r="F6" s="3">
        <v>285</v>
      </c>
      <c r="H6" s="3" t="s">
        <v>1</v>
      </c>
      <c r="I6" s="3">
        <v>50</v>
      </c>
      <c r="J6" s="3">
        <v>1</v>
      </c>
      <c r="L6" s="3">
        <f t="shared" ca="1" si="2"/>
        <v>35278.659</v>
      </c>
      <c r="M6" s="3">
        <f t="shared" ca="1" si="0"/>
        <v>35287.076000000001</v>
      </c>
      <c r="N6" s="3">
        <f t="shared" ca="1" si="0"/>
        <v>35316.502999999997</v>
      </c>
      <c r="O6" s="3">
        <f t="shared" ca="1" si="0"/>
        <v>35312.455000000002</v>
      </c>
      <c r="P6" s="3">
        <f t="shared" ca="1" si="0"/>
        <v>35291.627999999997</v>
      </c>
      <c r="Q6" s="3">
        <f t="shared" ca="1" si="0"/>
        <v>35317.754999999997</v>
      </c>
      <c r="R6" s="3">
        <f t="shared" ca="1" si="0"/>
        <v>35302.707000000002</v>
      </c>
      <c r="S6" s="3">
        <f t="shared" ca="1" si="0"/>
        <v>35340.277000000002</v>
      </c>
      <c r="T6" s="3">
        <f t="shared" ca="1" si="0"/>
        <v>35328.572</v>
      </c>
      <c r="U6" s="3">
        <f t="shared" ca="1" si="0"/>
        <v>35377.910000000003</v>
      </c>
      <c r="W6" s="3">
        <f t="shared" ca="1" si="3"/>
        <v>35315.354200000002</v>
      </c>
      <c r="Y6" s="3">
        <f ca="1">Total!E6</f>
        <v>35277.981</v>
      </c>
      <c r="AB6" s="3">
        <f t="shared" ca="1" si="1"/>
        <v>1.9218786925472963E-5</v>
      </c>
      <c r="AC6" s="3">
        <f t="shared" ca="1" si="1"/>
        <v>2.578095384767389E-4</v>
      </c>
      <c r="AD6" s="3">
        <f t="shared" ca="1" si="1"/>
        <v>1.0919559143704172E-3</v>
      </c>
      <c r="AE6" s="3">
        <f t="shared" ca="1" si="1"/>
        <v>9.7721011868570303E-4</v>
      </c>
      <c r="AF6" s="3">
        <f t="shared" ca="1" si="1"/>
        <v>3.8684186603528148E-4</v>
      </c>
      <c r="AG6" s="3">
        <f t="shared" ca="1" si="1"/>
        <v>1.127445473707739E-3</v>
      </c>
      <c r="AH6" s="3">
        <f t="shared" ca="1" si="1"/>
        <v>7.0089045061854272E-4</v>
      </c>
      <c r="AI6" s="3">
        <f t="shared" ca="1" si="1"/>
        <v>1.765860693671843E-3</v>
      </c>
      <c r="AJ6" s="3">
        <f t="shared" ca="1" si="1"/>
        <v>1.4340673294200241E-3</v>
      </c>
      <c r="AK6" s="3">
        <f t="shared" ca="1" si="1"/>
        <v>2.8326167532094233E-3</v>
      </c>
      <c r="AM6" s="3">
        <f t="shared" ca="1" si="4"/>
        <v>1.0593916925121186E-2</v>
      </c>
    </row>
    <row r="7" spans="1:39" x14ac:dyDescent="0.25">
      <c r="A7" s="3" t="s">
        <v>2</v>
      </c>
      <c r="B7" s="3">
        <v>24</v>
      </c>
      <c r="C7" s="3">
        <v>1</v>
      </c>
      <c r="D7" s="3">
        <v>56064.712</v>
      </c>
      <c r="E7" s="3">
        <v>1.2350000000000001</v>
      </c>
      <c r="F7" s="3">
        <v>264</v>
      </c>
      <c r="H7" s="3" t="s">
        <v>1</v>
      </c>
      <c r="I7" s="3">
        <v>100</v>
      </c>
      <c r="J7" s="3">
        <v>1</v>
      </c>
      <c r="L7" s="3">
        <f t="shared" ca="1" si="2"/>
        <v>63229.889000000003</v>
      </c>
      <c r="M7" s="3">
        <f t="shared" ca="1" si="0"/>
        <v>63140.239000000001</v>
      </c>
      <c r="N7" s="3">
        <f t="shared" ca="1" si="0"/>
        <v>63069.569000000003</v>
      </c>
      <c r="O7" s="3">
        <f t="shared" ca="1" si="0"/>
        <v>63063.828999999998</v>
      </c>
      <c r="P7" s="3">
        <f t="shared" ca="1" si="0"/>
        <v>63155.131999999998</v>
      </c>
      <c r="Q7" s="3">
        <f t="shared" ca="1" si="0"/>
        <v>63122.28</v>
      </c>
      <c r="R7" s="3">
        <f t="shared" ca="1" si="0"/>
        <v>63167.216</v>
      </c>
      <c r="S7" s="3">
        <f t="shared" ca="1" si="0"/>
        <v>63110.834000000003</v>
      </c>
      <c r="T7" s="3">
        <f t="shared" ca="1" si="0"/>
        <v>63108.614000000001</v>
      </c>
      <c r="U7" s="3">
        <f t="shared" ca="1" si="0"/>
        <v>63159.597999999998</v>
      </c>
      <c r="W7" s="3">
        <f t="shared" ca="1" si="3"/>
        <v>63132.719999999994</v>
      </c>
      <c r="Y7" s="3">
        <f ca="1">Total!E7</f>
        <v>63035.512000000002</v>
      </c>
      <c r="AB7" s="3">
        <f t="shared" ca="1" si="1"/>
        <v>3.0836110286531883E-3</v>
      </c>
      <c r="AC7" s="3">
        <f t="shared" ca="1" si="1"/>
        <v>1.6613968329471005E-3</v>
      </c>
      <c r="AD7" s="3">
        <f t="shared" ca="1" si="1"/>
        <v>5.4028275363259839E-4</v>
      </c>
      <c r="AE7" s="3">
        <f t="shared" ca="1" si="1"/>
        <v>4.4922297133075491E-4</v>
      </c>
      <c r="AF7" s="3">
        <f t="shared" ca="1" si="1"/>
        <v>1.8976604806508963E-3</v>
      </c>
      <c r="AG7" s="3">
        <f t="shared" ca="1" si="1"/>
        <v>1.3764939356722666E-3</v>
      </c>
      <c r="AH7" s="3">
        <f t="shared" ca="1" si="1"/>
        <v>2.0893619456917858E-3</v>
      </c>
      <c r="AI7" s="3">
        <f t="shared" ca="1" si="1"/>
        <v>1.1949137495702441E-3</v>
      </c>
      <c r="AJ7" s="3">
        <f t="shared" ca="1" si="1"/>
        <v>1.1596955062409733E-3</v>
      </c>
      <c r="AK7" s="3">
        <f t="shared" ca="1" si="1"/>
        <v>1.9685094332222712E-3</v>
      </c>
      <c r="AM7" s="3">
        <f t="shared" ca="1" si="4"/>
        <v>1.5421148637612079E-2</v>
      </c>
    </row>
    <row r="8" spans="1:39" x14ac:dyDescent="0.25">
      <c r="A8" s="3" t="s">
        <v>2</v>
      </c>
      <c r="B8" s="3">
        <v>24</v>
      </c>
      <c r="C8" s="3">
        <v>1</v>
      </c>
      <c r="D8" s="3">
        <v>56015.466999999997</v>
      </c>
      <c r="E8" s="3">
        <v>1.238</v>
      </c>
      <c r="F8" s="3">
        <v>282</v>
      </c>
      <c r="H8" s="3" t="s">
        <v>0</v>
      </c>
      <c r="I8" s="3">
        <v>25</v>
      </c>
      <c r="J8" s="3">
        <v>1</v>
      </c>
      <c r="L8" s="3">
        <f t="shared" ca="1" si="2"/>
        <v>723.81</v>
      </c>
      <c r="M8" s="3">
        <f t="shared" ca="1" si="0"/>
        <v>723.87599999999998</v>
      </c>
      <c r="N8" s="3">
        <f t="shared" ca="1" si="0"/>
        <v>723.78300000000002</v>
      </c>
      <c r="O8" s="3">
        <f t="shared" ca="1" si="0"/>
        <v>723.51</v>
      </c>
      <c r="P8" s="3">
        <f t="shared" ca="1" si="0"/>
        <v>723.17200000000003</v>
      </c>
      <c r="Q8" s="3">
        <f t="shared" ca="1" si="0"/>
        <v>723.12199999999996</v>
      </c>
      <c r="R8" s="3">
        <f t="shared" ca="1" si="0"/>
        <v>723.66899999999998</v>
      </c>
      <c r="S8" s="3">
        <f t="shared" ca="1" si="0"/>
        <v>723.63099999999997</v>
      </c>
      <c r="T8" s="3">
        <f t="shared" ca="1" si="0"/>
        <v>723.63099999999997</v>
      </c>
      <c r="U8" s="3">
        <f t="shared" ca="1" si="0"/>
        <v>724.245</v>
      </c>
      <c r="W8" s="3">
        <f t="shared" ca="1" si="3"/>
        <v>723.64490000000001</v>
      </c>
      <c r="Y8" s="3">
        <f ca="1">Total!E8</f>
        <v>722.92</v>
      </c>
      <c r="AB8" s="3">
        <f t="shared" ca="1" si="1"/>
        <v>1.2311182426824358E-3</v>
      </c>
      <c r="AC8" s="3">
        <f t="shared" ca="1" si="1"/>
        <v>1.3224146516903907E-3</v>
      </c>
      <c r="AD8" s="3">
        <f t="shared" ca="1" si="1"/>
        <v>1.1937697117247502E-3</v>
      </c>
      <c r="AE8" s="3">
        <f t="shared" ca="1" si="1"/>
        <v>8.1613456537380608E-4</v>
      </c>
      <c r="AF8" s="3">
        <f t="shared" ca="1" si="1"/>
        <v>3.4858628893939358E-4</v>
      </c>
      <c r="AG8" s="3">
        <f t="shared" ca="1" si="1"/>
        <v>2.7942234272118383E-4</v>
      </c>
      <c r="AH8" s="3">
        <f t="shared" ca="1" si="1"/>
        <v>1.0360759143474018E-3</v>
      </c>
      <c r="AI8" s="3">
        <f t="shared" ca="1" si="1"/>
        <v>9.8351131522161905E-4</v>
      </c>
      <c r="AJ8" s="3">
        <f t="shared" ca="1" si="1"/>
        <v>9.8351131522161905E-4</v>
      </c>
      <c r="AK8" s="3">
        <f t="shared" ca="1" si="1"/>
        <v>1.8328445747801216E-3</v>
      </c>
      <c r="AM8" s="3">
        <f t="shared" ca="1" si="4"/>
        <v>1.0027388922702721E-2</v>
      </c>
    </row>
    <row r="9" spans="1:39" x14ac:dyDescent="0.25">
      <c r="A9" s="3" t="s">
        <v>2</v>
      </c>
      <c r="B9" s="3">
        <v>24</v>
      </c>
      <c r="C9" s="3">
        <v>1</v>
      </c>
      <c r="D9" s="3">
        <v>56024.629000000001</v>
      </c>
      <c r="E9" s="3">
        <v>1.238</v>
      </c>
      <c r="F9" s="3">
        <v>246</v>
      </c>
      <c r="H9" s="3" t="s">
        <v>0</v>
      </c>
      <c r="I9" s="3">
        <v>50</v>
      </c>
      <c r="J9" s="3">
        <v>1</v>
      </c>
      <c r="L9" s="3">
        <f t="shared" ca="1" si="2"/>
        <v>1571.5350000000001</v>
      </c>
      <c r="M9" s="3">
        <f t="shared" ca="1" si="0"/>
        <v>1577.3589999999999</v>
      </c>
      <c r="N9" s="3">
        <f t="shared" ca="1" si="0"/>
        <v>1572.328</v>
      </c>
      <c r="O9" s="3">
        <f t="shared" ca="1" si="0"/>
        <v>1570.885</v>
      </c>
      <c r="P9" s="3">
        <f t="shared" ca="1" si="0"/>
        <v>1571.3579999999999</v>
      </c>
      <c r="Q9" s="3">
        <f t="shared" ca="1" si="0"/>
        <v>1570.4649999999999</v>
      </c>
      <c r="R9" s="3">
        <f t="shared" ca="1" si="0"/>
        <v>1572.29</v>
      </c>
      <c r="S9" s="3">
        <f t="shared" ca="1" si="0"/>
        <v>1570.4780000000001</v>
      </c>
      <c r="T9" s="3">
        <f t="shared" ca="1" si="0"/>
        <v>1570.4090000000001</v>
      </c>
      <c r="U9" s="3">
        <f t="shared" ca="1" si="0"/>
        <v>1574.2190000000001</v>
      </c>
      <c r="W9" s="3">
        <f t="shared" ca="1" si="3"/>
        <v>1572.1326000000001</v>
      </c>
      <c r="Y9" s="3">
        <f ca="1">Total!E9</f>
        <v>1570.17</v>
      </c>
      <c r="AB9" s="3">
        <f t="shared" ca="1" si="1"/>
        <v>8.6933262003477906E-4</v>
      </c>
      <c r="AC9" s="3">
        <f t="shared" ca="1" si="1"/>
        <v>4.5784851321830442E-3</v>
      </c>
      <c r="AD9" s="3">
        <f t="shared" ca="1" si="1"/>
        <v>1.3743734754834837E-3</v>
      </c>
      <c r="AE9" s="3">
        <f t="shared" ca="1" si="1"/>
        <v>4.5536470573244816E-4</v>
      </c>
      <c r="AF9" s="3">
        <f t="shared" ca="1" si="1"/>
        <v>7.5660597260161289E-4</v>
      </c>
      <c r="AG9" s="3">
        <f t="shared" ca="1" si="1"/>
        <v>1.8787774572170236E-4</v>
      </c>
      <c r="AH9" s="3">
        <f t="shared" ca="1" si="1"/>
        <v>1.3501722743396517E-3</v>
      </c>
      <c r="AI9" s="3">
        <f t="shared" ca="1" si="1"/>
        <v>1.9615710400784164E-4</v>
      </c>
      <c r="AJ9" s="3">
        <f t="shared" ca="1" si="1"/>
        <v>1.5221281772039507E-4</v>
      </c>
      <c r="AK9" s="3">
        <f t="shared" ca="1" si="1"/>
        <v>2.5787016692459912E-3</v>
      </c>
      <c r="AM9" s="3">
        <f t="shared" ca="1" si="4"/>
        <v>1.249928351707095E-2</v>
      </c>
    </row>
    <row r="10" spans="1:39" x14ac:dyDescent="0.25">
      <c r="A10" s="3" t="s">
        <v>2</v>
      </c>
      <c r="B10" s="3">
        <v>24</v>
      </c>
      <c r="C10" s="3">
        <v>1</v>
      </c>
      <c r="D10" s="3">
        <v>55982.313999999998</v>
      </c>
      <c r="E10" s="3">
        <v>1.2350000000000001</v>
      </c>
      <c r="F10" s="3">
        <v>258</v>
      </c>
      <c r="H10" s="3" t="s">
        <v>28</v>
      </c>
      <c r="I10" s="3">
        <v>100</v>
      </c>
      <c r="J10" s="3">
        <v>1</v>
      </c>
      <c r="L10" s="3">
        <f t="shared" ca="1" si="2"/>
        <v>3291.34</v>
      </c>
      <c r="M10" s="3">
        <f t="shared" ca="1" si="0"/>
        <v>3294.32</v>
      </c>
      <c r="N10" s="3">
        <f t="shared" ca="1" si="0"/>
        <v>3317.279</v>
      </c>
      <c r="O10" s="3">
        <f t="shared" ca="1" si="0"/>
        <v>3315.0419999999999</v>
      </c>
      <c r="P10" s="3">
        <f t="shared" ca="1" si="0"/>
        <v>3297.777</v>
      </c>
      <c r="Q10" s="3">
        <f t="shared" ca="1" si="0"/>
        <v>3291.6579999999999</v>
      </c>
      <c r="R10" s="3">
        <f t="shared" ca="1" si="0"/>
        <v>3315.0749999999998</v>
      </c>
      <c r="S10" s="3">
        <f t="shared" ca="1" si="0"/>
        <v>3320.0830000000001</v>
      </c>
      <c r="T10" s="3">
        <f t="shared" ca="1" si="0"/>
        <v>3292.335</v>
      </c>
      <c r="U10" s="3">
        <f t="shared" ca="1" si="0"/>
        <v>3291.625</v>
      </c>
      <c r="W10" s="3">
        <f t="shared" ca="1" si="3"/>
        <v>3302.6534000000001</v>
      </c>
      <c r="Y10" s="3">
        <f ca="1">Total!E10</f>
        <v>3290.5340000000001</v>
      </c>
      <c r="AB10" s="3">
        <f t="shared" ca="1" si="1"/>
        <v>2.4494504539386011E-4</v>
      </c>
      <c r="AC10" s="3">
        <f t="shared" ca="1" si="1"/>
        <v>1.1505731288599535E-3</v>
      </c>
      <c r="AD10" s="3">
        <f t="shared" ca="1" si="1"/>
        <v>8.1278600980873895E-3</v>
      </c>
      <c r="AE10" s="3">
        <f t="shared" ca="1" si="1"/>
        <v>7.4480312314049359E-3</v>
      </c>
      <c r="AF10" s="3">
        <f t="shared" ca="1" si="1"/>
        <v>2.2011624860888653E-3</v>
      </c>
      <c r="AG10" s="3">
        <f t="shared" ca="1" si="1"/>
        <v>3.4158589456902627E-4</v>
      </c>
      <c r="AH10" s="3">
        <f t="shared" ca="1" si="1"/>
        <v>7.4580599987721478E-3</v>
      </c>
      <c r="AI10" s="3">
        <f t="shared" ca="1" si="1"/>
        <v>8.9800014222615465E-3</v>
      </c>
      <c r="AJ10" s="3">
        <f t="shared" ca="1" si="1"/>
        <v>5.473275766182421E-4</v>
      </c>
      <c r="AK10" s="3">
        <f t="shared" ca="1" si="1"/>
        <v>3.315571272018142E-4</v>
      </c>
      <c r="AM10" s="3">
        <f t="shared" ca="1" si="4"/>
        <v>3.6831104009257778E-2</v>
      </c>
    </row>
    <row r="11" spans="1:39" x14ac:dyDescent="0.25">
      <c r="A11" s="3" t="s">
        <v>2</v>
      </c>
      <c r="B11" s="3">
        <v>47</v>
      </c>
      <c r="C11" s="3">
        <v>1</v>
      </c>
      <c r="D11" s="3">
        <v>126352.11900000001</v>
      </c>
      <c r="E11" s="3">
        <v>4.1399999999999997</v>
      </c>
      <c r="F11" s="3">
        <v>286</v>
      </c>
    </row>
    <row r="12" spans="1:39" x14ac:dyDescent="0.25">
      <c r="A12" s="3" t="s">
        <v>2</v>
      </c>
      <c r="B12" s="3">
        <v>47</v>
      </c>
      <c r="C12" s="3">
        <v>1</v>
      </c>
      <c r="D12" s="3">
        <v>126292.645</v>
      </c>
      <c r="E12" s="3">
        <v>4.1429999999999998</v>
      </c>
      <c r="F12" s="3">
        <v>252</v>
      </c>
    </row>
    <row r="13" spans="1:39" x14ac:dyDescent="0.25">
      <c r="A13" s="3" t="s">
        <v>2</v>
      </c>
      <c r="B13" s="3">
        <v>47</v>
      </c>
      <c r="C13" s="3">
        <v>1</v>
      </c>
      <c r="D13" s="3">
        <v>126379.307</v>
      </c>
      <c r="E13" s="3">
        <v>4.1440000000000001</v>
      </c>
      <c r="F13" s="3">
        <v>285</v>
      </c>
    </row>
    <row r="14" spans="1:39" x14ac:dyDescent="0.25">
      <c r="A14" s="3" t="s">
        <v>2</v>
      </c>
      <c r="B14" s="3">
        <v>47</v>
      </c>
      <c r="C14" s="3">
        <v>1</v>
      </c>
      <c r="D14" s="3">
        <v>126328.39200000001</v>
      </c>
      <c r="E14" s="3">
        <v>4.1420000000000003</v>
      </c>
      <c r="F14" s="3">
        <v>274</v>
      </c>
    </row>
    <row r="15" spans="1:39" x14ac:dyDescent="0.25">
      <c r="A15" s="3" t="s">
        <v>2</v>
      </c>
      <c r="B15" s="3">
        <v>47</v>
      </c>
      <c r="C15" s="3">
        <v>1</v>
      </c>
      <c r="D15" s="3">
        <v>126379.567</v>
      </c>
      <c r="E15" s="3">
        <v>4.1470000000000002</v>
      </c>
      <c r="F15" s="3">
        <v>283</v>
      </c>
    </row>
    <row r="16" spans="1:39" x14ac:dyDescent="0.25">
      <c r="A16" s="3" t="s">
        <v>2</v>
      </c>
      <c r="B16" s="3">
        <v>47</v>
      </c>
      <c r="C16" s="3">
        <v>1</v>
      </c>
      <c r="D16" s="3">
        <v>126191.219</v>
      </c>
      <c r="E16" s="3">
        <v>4.1440000000000001</v>
      </c>
      <c r="F16" s="3">
        <v>284</v>
      </c>
    </row>
    <row r="17" spans="1:6" x14ac:dyDescent="0.25">
      <c r="A17" s="3" t="s">
        <v>2</v>
      </c>
      <c r="B17" s="3">
        <v>47</v>
      </c>
      <c r="C17" s="3">
        <v>1</v>
      </c>
      <c r="D17" s="3">
        <v>126215.444</v>
      </c>
      <c r="E17" s="3">
        <v>4.1399999999999997</v>
      </c>
      <c r="F17" s="3">
        <v>270</v>
      </c>
    </row>
    <row r="18" spans="1:6" x14ac:dyDescent="0.25">
      <c r="A18" s="3" t="s">
        <v>2</v>
      </c>
      <c r="B18" s="3">
        <v>47</v>
      </c>
      <c r="C18" s="3">
        <v>1</v>
      </c>
      <c r="D18" s="3">
        <v>126225.64599999999</v>
      </c>
      <c r="E18" s="3">
        <v>4.1589999999999998</v>
      </c>
      <c r="F18" s="3">
        <v>287</v>
      </c>
    </row>
    <row r="19" spans="1:6" x14ac:dyDescent="0.25">
      <c r="A19" s="3" t="s">
        <v>2</v>
      </c>
      <c r="B19" s="3">
        <v>47</v>
      </c>
      <c r="C19" s="3">
        <v>1</v>
      </c>
      <c r="D19" s="3">
        <v>126492.455</v>
      </c>
      <c r="E19" s="3">
        <v>4.1479999999999997</v>
      </c>
      <c r="F19" s="3">
        <v>272</v>
      </c>
    </row>
    <row r="20" spans="1:6" x14ac:dyDescent="0.25">
      <c r="A20" s="3" t="s">
        <v>2</v>
      </c>
      <c r="B20" s="3">
        <v>47</v>
      </c>
      <c r="C20" s="3">
        <v>1</v>
      </c>
      <c r="D20" s="3">
        <v>126230.257</v>
      </c>
      <c r="E20" s="3">
        <v>4.1479999999999997</v>
      </c>
      <c r="F20" s="3">
        <v>273</v>
      </c>
    </row>
    <row r="21" spans="1:6" x14ac:dyDescent="0.25">
      <c r="A21" s="3" t="s">
        <v>2</v>
      </c>
      <c r="B21" s="3">
        <v>100</v>
      </c>
      <c r="C21" s="3">
        <v>1</v>
      </c>
      <c r="D21" s="3">
        <v>1216934.0889999999</v>
      </c>
      <c r="E21" s="3">
        <v>22.082999999999998</v>
      </c>
      <c r="F21" s="3">
        <v>290</v>
      </c>
    </row>
    <row r="22" spans="1:6" x14ac:dyDescent="0.25">
      <c r="A22" s="3" t="s">
        <v>2</v>
      </c>
      <c r="B22" s="3">
        <v>100</v>
      </c>
      <c r="C22" s="3">
        <v>1</v>
      </c>
      <c r="D22" s="3">
        <v>1216723.9140000001</v>
      </c>
      <c r="E22" s="3">
        <v>22.091000000000001</v>
      </c>
      <c r="F22" s="3">
        <v>283</v>
      </c>
    </row>
    <row r="23" spans="1:6" x14ac:dyDescent="0.25">
      <c r="A23" s="3" t="s">
        <v>2</v>
      </c>
      <c r="B23" s="3">
        <v>100</v>
      </c>
      <c r="C23" s="3">
        <v>1</v>
      </c>
      <c r="D23" s="3">
        <v>1216719.2560000001</v>
      </c>
      <c r="E23" s="3">
        <v>22.065000000000001</v>
      </c>
      <c r="F23" s="3">
        <v>286</v>
      </c>
    </row>
    <row r="24" spans="1:6" x14ac:dyDescent="0.25">
      <c r="A24" s="3" t="s">
        <v>2</v>
      </c>
      <c r="B24" s="3">
        <v>100</v>
      </c>
      <c r="C24" s="3">
        <v>1</v>
      </c>
      <c r="D24" s="3">
        <v>1216631.233</v>
      </c>
      <c r="E24" s="3">
        <v>22.059000000000001</v>
      </c>
      <c r="F24" s="3">
        <v>291</v>
      </c>
    </row>
    <row r="25" spans="1:6" x14ac:dyDescent="0.25">
      <c r="A25" s="3" t="s">
        <v>2</v>
      </c>
      <c r="B25" s="3">
        <v>100</v>
      </c>
      <c r="C25" s="3">
        <v>1</v>
      </c>
      <c r="D25" s="3">
        <v>1216955.4069999999</v>
      </c>
      <c r="E25" s="3">
        <v>22.091000000000001</v>
      </c>
      <c r="F25" s="3">
        <v>277</v>
      </c>
    </row>
    <row r="26" spans="1:6" x14ac:dyDescent="0.25">
      <c r="A26" s="3" t="s">
        <v>2</v>
      </c>
      <c r="B26" s="3">
        <v>100</v>
      </c>
      <c r="C26" s="3">
        <v>1</v>
      </c>
      <c r="D26" s="3">
        <v>1216907.9750000001</v>
      </c>
      <c r="E26" s="3">
        <v>22.114000000000001</v>
      </c>
      <c r="F26" s="3">
        <v>289</v>
      </c>
    </row>
    <row r="27" spans="1:6" x14ac:dyDescent="0.25">
      <c r="A27" s="3" t="s">
        <v>2</v>
      </c>
      <c r="B27" s="3">
        <v>100</v>
      </c>
      <c r="C27" s="3">
        <v>1</v>
      </c>
      <c r="D27" s="3">
        <v>1217172.0020000001</v>
      </c>
      <c r="E27" s="3">
        <v>22.103000000000002</v>
      </c>
      <c r="F27" s="3">
        <v>280</v>
      </c>
    </row>
    <row r="28" spans="1:6" x14ac:dyDescent="0.25">
      <c r="A28" s="3" t="s">
        <v>2</v>
      </c>
      <c r="B28" s="3">
        <v>100</v>
      </c>
      <c r="C28" s="3">
        <v>1</v>
      </c>
      <c r="D28" s="3">
        <v>1217000.8289999999</v>
      </c>
      <c r="E28" s="3">
        <v>22.09</v>
      </c>
      <c r="F28" s="3">
        <v>293</v>
      </c>
    </row>
    <row r="29" spans="1:6" x14ac:dyDescent="0.25">
      <c r="A29" s="3" t="s">
        <v>2</v>
      </c>
      <c r="B29" s="3">
        <v>100</v>
      </c>
      <c r="C29" s="3">
        <v>1</v>
      </c>
      <c r="D29" s="3">
        <v>1216819.675</v>
      </c>
      <c r="E29" s="3">
        <v>22.068000000000001</v>
      </c>
      <c r="F29" s="3">
        <v>284</v>
      </c>
    </row>
    <row r="30" spans="1:6" x14ac:dyDescent="0.25">
      <c r="A30" s="3" t="s">
        <v>2</v>
      </c>
      <c r="B30" s="3">
        <v>100</v>
      </c>
      <c r="C30" s="3">
        <v>1</v>
      </c>
      <c r="D30" s="3">
        <v>1217287.26</v>
      </c>
      <c r="E30" s="3">
        <v>22.111000000000001</v>
      </c>
      <c r="F30" s="3">
        <v>292</v>
      </c>
    </row>
    <row r="31" spans="1:6" x14ac:dyDescent="0.25">
      <c r="A31" s="3" t="s">
        <v>1</v>
      </c>
      <c r="B31" s="3">
        <v>30</v>
      </c>
      <c r="C31" s="3">
        <v>1</v>
      </c>
      <c r="D31" s="3">
        <v>20060.847000000002</v>
      </c>
      <c r="E31" s="3">
        <v>1.35</v>
      </c>
      <c r="F31" s="3">
        <v>172</v>
      </c>
    </row>
    <row r="32" spans="1:6" x14ac:dyDescent="0.25">
      <c r="A32" s="3" t="s">
        <v>1</v>
      </c>
      <c r="B32" s="3">
        <v>30</v>
      </c>
      <c r="C32" s="3">
        <v>1</v>
      </c>
      <c r="D32" s="3">
        <v>20023.058000000001</v>
      </c>
      <c r="E32" s="3">
        <v>1.35</v>
      </c>
      <c r="F32" s="3">
        <v>176</v>
      </c>
    </row>
    <row r="33" spans="1:6" x14ac:dyDescent="0.25">
      <c r="A33" s="3" t="s">
        <v>1</v>
      </c>
      <c r="B33" s="3">
        <v>30</v>
      </c>
      <c r="C33" s="3">
        <v>1</v>
      </c>
      <c r="D33" s="3">
        <v>20015.705000000002</v>
      </c>
      <c r="E33" s="3">
        <v>1.347</v>
      </c>
      <c r="F33" s="3">
        <v>189</v>
      </c>
    </row>
    <row r="34" spans="1:6" x14ac:dyDescent="0.25">
      <c r="A34" s="3" t="s">
        <v>1</v>
      </c>
      <c r="B34" s="3">
        <v>30</v>
      </c>
      <c r="C34" s="3">
        <v>1</v>
      </c>
      <c r="D34" s="3">
        <v>20016.603999999999</v>
      </c>
      <c r="E34" s="3">
        <v>1.349</v>
      </c>
      <c r="F34" s="3">
        <v>189</v>
      </c>
    </row>
    <row r="35" spans="1:6" x14ac:dyDescent="0.25">
      <c r="A35" s="3" t="s">
        <v>1</v>
      </c>
      <c r="B35" s="3">
        <v>30</v>
      </c>
      <c r="C35" s="3">
        <v>1</v>
      </c>
      <c r="D35" s="3">
        <v>20003.255000000001</v>
      </c>
      <c r="E35" s="3">
        <v>1.349</v>
      </c>
      <c r="F35" s="3">
        <v>184</v>
      </c>
    </row>
    <row r="36" spans="1:6" x14ac:dyDescent="0.25">
      <c r="A36" s="3" t="s">
        <v>1</v>
      </c>
      <c r="B36" s="3">
        <v>30</v>
      </c>
      <c r="C36" s="3">
        <v>1</v>
      </c>
      <c r="D36" s="3">
        <v>20041.516</v>
      </c>
      <c r="E36" s="3">
        <v>1.35</v>
      </c>
      <c r="F36" s="3">
        <v>179</v>
      </c>
    </row>
    <row r="37" spans="1:6" x14ac:dyDescent="0.25">
      <c r="A37" s="3" t="s">
        <v>1</v>
      </c>
      <c r="B37" s="3">
        <v>30</v>
      </c>
      <c r="C37" s="3">
        <v>1</v>
      </c>
      <c r="D37" s="3">
        <v>19985.143</v>
      </c>
      <c r="E37" s="3">
        <v>1.351</v>
      </c>
      <c r="F37" s="3">
        <v>193</v>
      </c>
    </row>
    <row r="38" spans="1:6" x14ac:dyDescent="0.25">
      <c r="A38" s="3" t="s">
        <v>1</v>
      </c>
      <c r="B38" s="3">
        <v>30</v>
      </c>
      <c r="C38" s="3">
        <v>1</v>
      </c>
      <c r="D38" s="3">
        <v>20005.47</v>
      </c>
      <c r="E38" s="3">
        <v>1.351</v>
      </c>
      <c r="F38" s="3">
        <v>193</v>
      </c>
    </row>
    <row r="39" spans="1:6" x14ac:dyDescent="0.25">
      <c r="A39" s="3" t="s">
        <v>1</v>
      </c>
      <c r="B39" s="3">
        <v>30</v>
      </c>
      <c r="C39" s="3">
        <v>1</v>
      </c>
      <c r="D39" s="3">
        <v>20014.243999999999</v>
      </c>
      <c r="E39" s="3">
        <v>1.351</v>
      </c>
      <c r="F39" s="3">
        <v>185</v>
      </c>
    </row>
    <row r="40" spans="1:6" x14ac:dyDescent="0.25">
      <c r="A40" s="3" t="s">
        <v>1</v>
      </c>
      <c r="B40" s="3">
        <v>30</v>
      </c>
      <c r="C40" s="3">
        <v>1</v>
      </c>
      <c r="D40" s="3">
        <v>20014.501</v>
      </c>
      <c r="E40" s="3">
        <v>1.351</v>
      </c>
      <c r="F40" s="3">
        <v>192</v>
      </c>
    </row>
    <row r="41" spans="1:6" x14ac:dyDescent="0.25">
      <c r="A41" s="3" t="s">
        <v>1</v>
      </c>
      <c r="B41" s="3">
        <v>50</v>
      </c>
      <c r="C41" s="3">
        <v>1</v>
      </c>
      <c r="D41" s="3">
        <v>35278.659</v>
      </c>
      <c r="E41" s="3">
        <v>3.044</v>
      </c>
      <c r="F41" s="3">
        <v>165</v>
      </c>
    </row>
    <row r="42" spans="1:6" x14ac:dyDescent="0.25">
      <c r="A42" s="3" t="s">
        <v>1</v>
      </c>
      <c r="B42" s="3">
        <v>50</v>
      </c>
      <c r="C42" s="3">
        <v>1</v>
      </c>
      <c r="D42" s="3">
        <v>35287.076000000001</v>
      </c>
      <c r="E42" s="3">
        <v>3.04</v>
      </c>
      <c r="F42" s="3">
        <v>174</v>
      </c>
    </row>
    <row r="43" spans="1:6" x14ac:dyDescent="0.25">
      <c r="A43" s="3" t="s">
        <v>1</v>
      </c>
      <c r="B43" s="3">
        <v>50</v>
      </c>
      <c r="C43" s="3">
        <v>1</v>
      </c>
      <c r="D43" s="3">
        <v>35316.502999999997</v>
      </c>
      <c r="E43" s="3">
        <v>3.0419999999999998</v>
      </c>
      <c r="F43" s="3">
        <v>166</v>
      </c>
    </row>
    <row r="44" spans="1:6" x14ac:dyDescent="0.25">
      <c r="A44" s="3" t="s">
        <v>1</v>
      </c>
      <c r="B44" s="3">
        <v>50</v>
      </c>
      <c r="C44" s="3">
        <v>1</v>
      </c>
      <c r="D44" s="3">
        <v>35312.455000000002</v>
      </c>
      <c r="E44" s="3">
        <v>3.036</v>
      </c>
      <c r="F44" s="3">
        <v>171</v>
      </c>
    </row>
    <row r="45" spans="1:6" x14ac:dyDescent="0.25">
      <c r="A45" s="3" t="s">
        <v>1</v>
      </c>
      <c r="B45" s="3">
        <v>50</v>
      </c>
      <c r="C45" s="3">
        <v>1</v>
      </c>
      <c r="D45" s="3">
        <v>35291.627999999997</v>
      </c>
      <c r="E45" s="3">
        <v>3.0409999999999999</v>
      </c>
      <c r="F45" s="3">
        <v>156</v>
      </c>
    </row>
    <row r="46" spans="1:6" x14ac:dyDescent="0.25">
      <c r="A46" s="3" t="s">
        <v>1</v>
      </c>
      <c r="B46" s="3">
        <v>50</v>
      </c>
      <c r="C46" s="3">
        <v>1</v>
      </c>
      <c r="D46" s="3">
        <v>35317.754999999997</v>
      </c>
      <c r="E46" s="3">
        <v>3.0449999999999999</v>
      </c>
      <c r="F46" s="3">
        <v>164</v>
      </c>
    </row>
    <row r="47" spans="1:6" x14ac:dyDescent="0.25">
      <c r="A47" s="3" t="s">
        <v>1</v>
      </c>
      <c r="B47" s="3">
        <v>50</v>
      </c>
      <c r="C47" s="3">
        <v>1</v>
      </c>
      <c r="D47" s="3">
        <v>35302.707000000002</v>
      </c>
      <c r="E47" s="3">
        <v>3.0430000000000001</v>
      </c>
      <c r="F47" s="3">
        <v>173</v>
      </c>
    </row>
    <row r="48" spans="1:6" x14ac:dyDescent="0.25">
      <c r="A48" s="3" t="s">
        <v>1</v>
      </c>
      <c r="B48" s="3">
        <v>50</v>
      </c>
      <c r="C48" s="3">
        <v>1</v>
      </c>
      <c r="D48" s="3">
        <v>35340.277000000002</v>
      </c>
      <c r="E48" s="3">
        <v>3.0419999999999998</v>
      </c>
      <c r="F48" s="3">
        <v>159</v>
      </c>
    </row>
    <row r="49" spans="1:6" x14ac:dyDescent="0.25">
      <c r="A49" s="3" t="s">
        <v>1</v>
      </c>
      <c r="B49" s="3">
        <v>50</v>
      </c>
      <c r="C49" s="3">
        <v>1</v>
      </c>
      <c r="D49" s="3">
        <v>35328.572</v>
      </c>
      <c r="E49" s="3">
        <v>3.036</v>
      </c>
      <c r="F49" s="3">
        <v>170</v>
      </c>
    </row>
    <row r="50" spans="1:6" x14ac:dyDescent="0.25">
      <c r="A50" s="3" t="s">
        <v>1</v>
      </c>
      <c r="B50" s="3">
        <v>50</v>
      </c>
      <c r="C50" s="3">
        <v>1</v>
      </c>
      <c r="D50" s="3">
        <v>35377.910000000003</v>
      </c>
      <c r="E50" s="3">
        <v>3.0409999999999999</v>
      </c>
      <c r="F50" s="3">
        <v>176</v>
      </c>
    </row>
    <row r="51" spans="1:6" x14ac:dyDescent="0.25">
      <c r="A51" s="3" t="s">
        <v>1</v>
      </c>
      <c r="B51" s="3">
        <v>100</v>
      </c>
      <c r="C51" s="3">
        <v>1</v>
      </c>
      <c r="D51" s="3">
        <v>63229.889000000003</v>
      </c>
      <c r="E51" s="3">
        <v>11.71</v>
      </c>
      <c r="F51" s="3">
        <v>148</v>
      </c>
    </row>
    <row r="52" spans="1:6" x14ac:dyDescent="0.25">
      <c r="A52" s="3" t="s">
        <v>1</v>
      </c>
      <c r="B52" s="3">
        <v>100</v>
      </c>
      <c r="C52" s="3">
        <v>1</v>
      </c>
      <c r="D52" s="3">
        <v>63140.239000000001</v>
      </c>
      <c r="E52" s="3">
        <v>11.680999999999999</v>
      </c>
      <c r="F52" s="3">
        <v>150</v>
      </c>
    </row>
    <row r="53" spans="1:6" x14ac:dyDescent="0.25">
      <c r="A53" s="3" t="s">
        <v>1</v>
      </c>
      <c r="B53" s="3">
        <v>100</v>
      </c>
      <c r="C53" s="3">
        <v>1</v>
      </c>
      <c r="D53" s="3">
        <v>63069.569000000003</v>
      </c>
      <c r="E53" s="3">
        <v>11.694000000000001</v>
      </c>
      <c r="F53" s="3">
        <v>150</v>
      </c>
    </row>
    <row r="54" spans="1:6" x14ac:dyDescent="0.25">
      <c r="A54" s="3" t="s">
        <v>1</v>
      </c>
      <c r="B54" s="3">
        <v>100</v>
      </c>
      <c r="C54" s="3">
        <v>1</v>
      </c>
      <c r="D54" s="3">
        <v>63063.828999999998</v>
      </c>
      <c r="E54" s="3">
        <v>11.686</v>
      </c>
      <c r="F54" s="3">
        <v>151</v>
      </c>
    </row>
    <row r="55" spans="1:6" x14ac:dyDescent="0.25">
      <c r="A55" s="3" t="s">
        <v>1</v>
      </c>
      <c r="B55" s="3">
        <v>100</v>
      </c>
      <c r="C55" s="3">
        <v>1</v>
      </c>
      <c r="D55" s="3">
        <v>63155.131999999998</v>
      </c>
      <c r="E55" s="3">
        <v>11.699</v>
      </c>
      <c r="F55" s="3">
        <v>151</v>
      </c>
    </row>
    <row r="56" spans="1:6" x14ac:dyDescent="0.25">
      <c r="A56" s="3" t="s">
        <v>1</v>
      </c>
      <c r="B56" s="3">
        <v>100</v>
      </c>
      <c r="C56" s="3">
        <v>1</v>
      </c>
      <c r="D56" s="3">
        <v>63122.28</v>
      </c>
      <c r="E56" s="3">
        <v>11.728</v>
      </c>
      <c r="F56" s="3">
        <v>150</v>
      </c>
    </row>
    <row r="57" spans="1:6" x14ac:dyDescent="0.25">
      <c r="A57" s="3" t="s">
        <v>1</v>
      </c>
      <c r="B57" s="3">
        <v>100</v>
      </c>
      <c r="C57" s="3">
        <v>1</v>
      </c>
      <c r="D57" s="3">
        <v>63167.216</v>
      </c>
      <c r="E57" s="3">
        <v>11.727</v>
      </c>
      <c r="F57" s="3">
        <v>152</v>
      </c>
    </row>
    <row r="58" spans="1:6" x14ac:dyDescent="0.25">
      <c r="A58" s="3" t="s">
        <v>1</v>
      </c>
      <c r="B58" s="3">
        <v>100</v>
      </c>
      <c r="C58" s="3">
        <v>1</v>
      </c>
      <c r="D58" s="3">
        <v>63110.834000000003</v>
      </c>
      <c r="E58" s="3">
        <v>11.678000000000001</v>
      </c>
      <c r="F58" s="3">
        <v>152</v>
      </c>
    </row>
    <row r="59" spans="1:6" x14ac:dyDescent="0.25">
      <c r="A59" s="3" t="s">
        <v>1</v>
      </c>
      <c r="B59" s="3">
        <v>100</v>
      </c>
      <c r="C59" s="3">
        <v>1</v>
      </c>
      <c r="D59" s="3">
        <v>63108.614000000001</v>
      </c>
      <c r="E59" s="3">
        <v>11.691000000000001</v>
      </c>
      <c r="F59" s="3">
        <v>150</v>
      </c>
    </row>
    <row r="60" spans="1:6" x14ac:dyDescent="0.25">
      <c r="A60" s="3" t="s">
        <v>1</v>
      </c>
      <c r="B60" s="3">
        <v>100</v>
      </c>
      <c r="C60" s="3">
        <v>1</v>
      </c>
      <c r="D60" s="3">
        <v>63159.597999999998</v>
      </c>
      <c r="E60" s="3">
        <v>11.722</v>
      </c>
      <c r="F60" s="3">
        <v>151</v>
      </c>
    </row>
    <row r="61" spans="1:6" x14ac:dyDescent="0.25">
      <c r="A61" s="3" t="s">
        <v>0</v>
      </c>
      <c r="B61" s="3">
        <v>25</v>
      </c>
      <c r="C61" s="3">
        <v>1</v>
      </c>
      <c r="D61" s="3">
        <v>723.81</v>
      </c>
      <c r="E61" s="3">
        <v>0.90200000000000002</v>
      </c>
      <c r="F61" s="3">
        <v>151</v>
      </c>
    </row>
    <row r="62" spans="1:6" x14ac:dyDescent="0.25">
      <c r="A62" s="3" t="s">
        <v>0</v>
      </c>
      <c r="B62" s="3">
        <v>25</v>
      </c>
      <c r="C62" s="3">
        <v>1</v>
      </c>
      <c r="D62" s="3">
        <v>723.87599999999998</v>
      </c>
      <c r="E62" s="3">
        <v>0.90500000000000003</v>
      </c>
      <c r="F62" s="3">
        <v>164</v>
      </c>
    </row>
    <row r="63" spans="1:6" x14ac:dyDescent="0.25">
      <c r="A63" s="3" t="s">
        <v>0</v>
      </c>
      <c r="B63" s="3">
        <v>25</v>
      </c>
      <c r="C63" s="3">
        <v>1</v>
      </c>
      <c r="D63" s="3">
        <v>723.78300000000002</v>
      </c>
      <c r="E63" s="3">
        <v>0.90400000000000003</v>
      </c>
      <c r="F63" s="3">
        <v>162</v>
      </c>
    </row>
    <row r="64" spans="1:6" x14ac:dyDescent="0.25">
      <c r="A64" s="3" t="s">
        <v>0</v>
      </c>
      <c r="B64" s="3">
        <v>25</v>
      </c>
      <c r="C64" s="3">
        <v>1</v>
      </c>
      <c r="D64" s="3">
        <v>723.51</v>
      </c>
      <c r="E64" s="3">
        <v>0.90400000000000003</v>
      </c>
      <c r="F64" s="3">
        <v>174</v>
      </c>
    </row>
    <row r="65" spans="1:6" x14ac:dyDescent="0.25">
      <c r="A65" s="3" t="s">
        <v>0</v>
      </c>
      <c r="B65" s="3">
        <v>25</v>
      </c>
      <c r="C65" s="3">
        <v>1</v>
      </c>
      <c r="D65" s="3">
        <v>723.17200000000003</v>
      </c>
      <c r="E65" s="3">
        <v>0.90100000000000002</v>
      </c>
      <c r="F65" s="3">
        <v>154</v>
      </c>
    </row>
    <row r="66" spans="1:6" x14ac:dyDescent="0.25">
      <c r="A66" s="3" t="s">
        <v>0</v>
      </c>
      <c r="B66" s="3">
        <v>25</v>
      </c>
      <c r="C66" s="3">
        <v>1</v>
      </c>
      <c r="D66" s="3">
        <v>723.12199999999996</v>
      </c>
      <c r="E66" s="3">
        <v>0.90500000000000003</v>
      </c>
      <c r="F66" s="3">
        <v>189</v>
      </c>
    </row>
    <row r="67" spans="1:6" x14ac:dyDescent="0.25">
      <c r="A67" s="3" t="s">
        <v>0</v>
      </c>
      <c r="B67" s="3">
        <v>25</v>
      </c>
      <c r="C67" s="3">
        <v>1</v>
      </c>
      <c r="D67" s="3">
        <v>723.66899999999998</v>
      </c>
      <c r="E67" s="3">
        <v>0.90100000000000002</v>
      </c>
      <c r="F67" s="3">
        <v>147</v>
      </c>
    </row>
    <row r="68" spans="1:6" x14ac:dyDescent="0.25">
      <c r="A68" s="3" t="s">
        <v>0</v>
      </c>
      <c r="B68" s="3">
        <v>25</v>
      </c>
      <c r="C68" s="3">
        <v>1</v>
      </c>
      <c r="D68" s="3">
        <v>723.63099999999997</v>
      </c>
      <c r="E68" s="3">
        <v>0.90300000000000002</v>
      </c>
      <c r="F68" s="3">
        <v>174</v>
      </c>
    </row>
    <row r="69" spans="1:6" x14ac:dyDescent="0.25">
      <c r="A69" s="3" t="s">
        <v>0</v>
      </c>
      <c r="B69" s="3">
        <v>25</v>
      </c>
      <c r="C69" s="3">
        <v>1</v>
      </c>
      <c r="D69" s="3">
        <v>723.63099999999997</v>
      </c>
      <c r="E69" s="3">
        <v>0.90400000000000003</v>
      </c>
      <c r="F69" s="3">
        <v>140</v>
      </c>
    </row>
    <row r="70" spans="1:6" x14ac:dyDescent="0.25">
      <c r="A70" s="3" t="s">
        <v>0</v>
      </c>
      <c r="B70" s="3">
        <v>25</v>
      </c>
      <c r="C70" s="3">
        <v>1</v>
      </c>
      <c r="D70" s="3">
        <v>724.245</v>
      </c>
      <c r="E70" s="3">
        <v>0.90200000000000002</v>
      </c>
      <c r="F70" s="3">
        <v>184</v>
      </c>
    </row>
    <row r="71" spans="1:6" x14ac:dyDescent="0.25">
      <c r="A71" s="3" t="s">
        <v>0</v>
      </c>
      <c r="B71" s="3">
        <v>50</v>
      </c>
      <c r="C71" s="3">
        <v>1</v>
      </c>
      <c r="D71" s="3">
        <v>1571.5350000000001</v>
      </c>
      <c r="E71" s="3">
        <v>3.3769999999999998</v>
      </c>
      <c r="F71" s="3">
        <v>193</v>
      </c>
    </row>
    <row r="72" spans="1:6" x14ac:dyDescent="0.25">
      <c r="A72" s="3" t="s">
        <v>0</v>
      </c>
      <c r="B72" s="3">
        <v>50</v>
      </c>
      <c r="C72" s="3">
        <v>1</v>
      </c>
      <c r="D72" s="3">
        <v>1577.3589999999999</v>
      </c>
      <c r="E72" s="3">
        <v>3.3759999999999999</v>
      </c>
      <c r="F72" s="3">
        <v>185</v>
      </c>
    </row>
    <row r="73" spans="1:6" x14ac:dyDescent="0.25">
      <c r="A73" s="3" t="s">
        <v>0</v>
      </c>
      <c r="B73" s="3">
        <v>50</v>
      </c>
      <c r="C73" s="3">
        <v>1</v>
      </c>
      <c r="D73" s="3">
        <v>1572.328</v>
      </c>
      <c r="E73" s="3">
        <v>3.375</v>
      </c>
      <c r="F73" s="3">
        <v>182</v>
      </c>
    </row>
    <row r="74" spans="1:6" x14ac:dyDescent="0.25">
      <c r="A74" s="3" t="s">
        <v>0</v>
      </c>
      <c r="B74" s="3">
        <v>50</v>
      </c>
      <c r="C74" s="3">
        <v>1</v>
      </c>
      <c r="D74" s="3">
        <v>1570.885</v>
      </c>
      <c r="E74" s="3">
        <v>3.3769999999999998</v>
      </c>
      <c r="F74" s="3">
        <v>179</v>
      </c>
    </row>
    <row r="75" spans="1:6" x14ac:dyDescent="0.25">
      <c r="A75" s="3" t="s">
        <v>0</v>
      </c>
      <c r="B75" s="3">
        <v>50</v>
      </c>
      <c r="C75" s="3">
        <v>1</v>
      </c>
      <c r="D75" s="3">
        <v>1571.3579999999999</v>
      </c>
      <c r="E75" s="3">
        <v>3.3719999999999999</v>
      </c>
      <c r="F75" s="3">
        <v>197</v>
      </c>
    </row>
    <row r="76" spans="1:6" x14ac:dyDescent="0.25">
      <c r="A76" s="3" t="s">
        <v>0</v>
      </c>
      <c r="B76" s="3">
        <v>50</v>
      </c>
      <c r="C76" s="3">
        <v>1</v>
      </c>
      <c r="D76" s="3">
        <v>1570.4649999999999</v>
      </c>
      <c r="E76" s="3">
        <v>3.3690000000000002</v>
      </c>
      <c r="F76" s="3">
        <v>199</v>
      </c>
    </row>
    <row r="77" spans="1:6" x14ac:dyDescent="0.25">
      <c r="A77" s="3" t="s">
        <v>0</v>
      </c>
      <c r="B77" s="3">
        <v>50</v>
      </c>
      <c r="C77" s="3">
        <v>1</v>
      </c>
      <c r="D77" s="3">
        <v>1572.29</v>
      </c>
      <c r="E77" s="3">
        <v>3.3679999999999999</v>
      </c>
      <c r="F77" s="3">
        <v>180</v>
      </c>
    </row>
    <row r="78" spans="1:6" x14ac:dyDescent="0.25">
      <c r="A78" s="3" t="s">
        <v>0</v>
      </c>
      <c r="B78" s="3">
        <v>50</v>
      </c>
      <c r="C78" s="3">
        <v>1</v>
      </c>
      <c r="D78" s="3">
        <v>1570.4780000000001</v>
      </c>
      <c r="E78" s="3">
        <v>3.3940000000000001</v>
      </c>
      <c r="F78" s="3">
        <v>197</v>
      </c>
    </row>
    <row r="79" spans="1:6" x14ac:dyDescent="0.25">
      <c r="A79" s="3" t="s">
        <v>0</v>
      </c>
      <c r="B79" s="3">
        <v>50</v>
      </c>
      <c r="C79" s="3">
        <v>1</v>
      </c>
      <c r="D79" s="3">
        <v>1570.4090000000001</v>
      </c>
      <c r="E79" s="3">
        <v>3.3719999999999999</v>
      </c>
      <c r="F79" s="3">
        <v>197</v>
      </c>
    </row>
    <row r="80" spans="1:6" x14ac:dyDescent="0.25">
      <c r="A80" s="3" t="s">
        <v>0</v>
      </c>
      <c r="B80" s="3">
        <v>50</v>
      </c>
      <c r="C80" s="3">
        <v>1</v>
      </c>
      <c r="D80" s="3">
        <v>1574.2190000000001</v>
      </c>
      <c r="E80" s="3">
        <v>3.37</v>
      </c>
      <c r="F80" s="3">
        <v>194</v>
      </c>
    </row>
    <row r="81" spans="1:6" x14ac:dyDescent="0.25">
      <c r="A81" s="3" t="s">
        <v>0</v>
      </c>
      <c r="B81" s="3">
        <v>100</v>
      </c>
      <c r="C81" s="3">
        <v>1</v>
      </c>
      <c r="D81" s="3">
        <v>3291.34</v>
      </c>
      <c r="E81" s="3">
        <v>11.36</v>
      </c>
      <c r="F81" s="3">
        <v>147</v>
      </c>
    </row>
    <row r="82" spans="1:6" x14ac:dyDescent="0.25">
      <c r="A82" s="3" t="s">
        <v>0</v>
      </c>
      <c r="B82" s="3">
        <v>100</v>
      </c>
      <c r="C82" s="3">
        <v>1</v>
      </c>
      <c r="D82" s="3">
        <v>3294.32</v>
      </c>
      <c r="E82" s="3">
        <v>11.353999999999999</v>
      </c>
      <c r="F82" s="3">
        <v>150</v>
      </c>
    </row>
    <row r="83" spans="1:6" x14ac:dyDescent="0.25">
      <c r="A83" s="3" t="s">
        <v>0</v>
      </c>
      <c r="B83" s="3">
        <v>100</v>
      </c>
      <c r="C83" s="3">
        <v>1</v>
      </c>
      <c r="D83" s="3">
        <v>3317.279</v>
      </c>
      <c r="E83" s="3">
        <v>11.315</v>
      </c>
      <c r="F83" s="3">
        <v>145</v>
      </c>
    </row>
    <row r="84" spans="1:6" x14ac:dyDescent="0.25">
      <c r="A84" s="3" t="s">
        <v>0</v>
      </c>
      <c r="B84" s="3">
        <v>100</v>
      </c>
      <c r="C84" s="3">
        <v>1</v>
      </c>
      <c r="D84" s="3">
        <v>3315.0419999999999</v>
      </c>
      <c r="E84" s="3">
        <v>11.311</v>
      </c>
      <c r="F84" s="3">
        <v>146</v>
      </c>
    </row>
    <row r="85" spans="1:6" x14ac:dyDescent="0.25">
      <c r="A85" s="3" t="s">
        <v>0</v>
      </c>
      <c r="B85" s="3">
        <v>100</v>
      </c>
      <c r="C85" s="3">
        <v>1</v>
      </c>
      <c r="D85" s="3">
        <v>3297.777</v>
      </c>
      <c r="E85" s="3">
        <v>11.334</v>
      </c>
      <c r="F85" s="3">
        <v>154</v>
      </c>
    </row>
    <row r="86" spans="1:6" x14ac:dyDescent="0.25">
      <c r="A86" s="3" t="s">
        <v>0</v>
      </c>
      <c r="B86" s="3">
        <v>100</v>
      </c>
      <c r="C86" s="3">
        <v>1</v>
      </c>
      <c r="D86" s="3">
        <v>3291.6579999999999</v>
      </c>
      <c r="E86" s="3">
        <v>11.343</v>
      </c>
      <c r="F86" s="3">
        <v>151</v>
      </c>
    </row>
    <row r="87" spans="1:6" x14ac:dyDescent="0.25">
      <c r="A87" s="3" t="s">
        <v>0</v>
      </c>
      <c r="B87" s="3">
        <v>100</v>
      </c>
      <c r="C87" s="3">
        <v>1</v>
      </c>
      <c r="D87" s="3">
        <v>3315.0749999999998</v>
      </c>
      <c r="E87" s="3">
        <v>11.355</v>
      </c>
      <c r="F87" s="3">
        <v>143</v>
      </c>
    </row>
    <row r="88" spans="1:6" x14ac:dyDescent="0.25">
      <c r="A88" s="3" t="s">
        <v>0</v>
      </c>
      <c r="B88" s="3">
        <v>100</v>
      </c>
      <c r="C88" s="3">
        <v>1</v>
      </c>
      <c r="D88" s="3">
        <v>3320.0830000000001</v>
      </c>
      <c r="E88" s="3">
        <v>11.326000000000001</v>
      </c>
      <c r="F88" s="3">
        <v>148</v>
      </c>
    </row>
    <row r="89" spans="1:6" x14ac:dyDescent="0.25">
      <c r="A89" s="3" t="s">
        <v>0</v>
      </c>
      <c r="B89" s="3">
        <v>100</v>
      </c>
      <c r="C89" s="3">
        <v>1</v>
      </c>
      <c r="D89" s="3">
        <v>3292.335</v>
      </c>
      <c r="E89" s="3">
        <v>11.31</v>
      </c>
      <c r="F89" s="3">
        <v>150</v>
      </c>
    </row>
    <row r="90" spans="1:6" x14ac:dyDescent="0.25">
      <c r="A90" s="3" t="s">
        <v>0</v>
      </c>
      <c r="B90" s="3">
        <v>100</v>
      </c>
      <c r="C90" s="3">
        <v>1</v>
      </c>
      <c r="D90" s="3">
        <v>3291.625</v>
      </c>
      <c r="E90" s="3">
        <v>11.349</v>
      </c>
      <c r="F90" s="3">
        <v>156</v>
      </c>
    </row>
  </sheetData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0"/>
  <sheetViews>
    <sheetView zoomScale="85" zoomScaleNormal="85" workbookViewId="0">
      <selection sqref="A1:F91"/>
    </sheetView>
  </sheetViews>
  <sheetFormatPr defaultColWidth="9" defaultRowHeight="15" x14ac:dyDescent="0.25"/>
  <cols>
    <col min="1" max="1" width="9.875" style="3" customWidth="1"/>
    <col min="2" max="2" width="4.375" style="3" bestFit="1" customWidth="1"/>
    <col min="3" max="3" width="2.625" style="3" bestFit="1" customWidth="1"/>
    <col min="4" max="4" width="11.125" style="3" customWidth="1"/>
    <col min="5" max="5" width="7" style="3" bestFit="1" customWidth="1"/>
    <col min="6" max="6" width="4.375" style="3" bestFit="1" customWidth="1"/>
    <col min="7" max="7" width="2.5" style="3" customWidth="1"/>
    <col min="8" max="8" width="9.75" style="3" customWidth="1"/>
    <col min="9" max="9" width="4.375" style="3" bestFit="1" customWidth="1"/>
    <col min="10" max="10" width="3.125" style="3" bestFit="1" customWidth="1"/>
    <col min="11" max="11" width="2.5" style="3" customWidth="1"/>
    <col min="12" max="21" width="9" style="3"/>
    <col min="22" max="22" width="3.25" style="3" customWidth="1"/>
    <col min="23" max="23" width="9" style="3"/>
    <col min="24" max="24" width="2.375" style="3" customWidth="1"/>
    <col min="25" max="25" width="9" style="3"/>
    <col min="26" max="27" width="2.375" style="3" customWidth="1"/>
    <col min="28" max="37" width="9" style="3"/>
    <col min="38" max="38" width="5.625" style="3" customWidth="1"/>
    <col min="39" max="16384" width="9" style="3"/>
  </cols>
  <sheetData>
    <row r="1" spans="1:39" x14ac:dyDescent="0.25">
      <c r="A1" s="3" t="s">
        <v>2</v>
      </c>
      <c r="B1" s="3">
        <v>24</v>
      </c>
      <c r="C1" s="3">
        <v>1</v>
      </c>
      <c r="D1" s="3">
        <v>56006.678</v>
      </c>
      <c r="E1" s="3">
        <v>1.2390000000000001</v>
      </c>
      <c r="F1" s="3">
        <v>211</v>
      </c>
      <c r="H1" s="5" t="s">
        <v>13</v>
      </c>
      <c r="I1" s="5" t="s">
        <v>14</v>
      </c>
      <c r="J1" s="5" t="s">
        <v>10</v>
      </c>
      <c r="K1" s="2"/>
      <c r="L1" s="2">
        <v>1</v>
      </c>
      <c r="M1" s="2">
        <v>2</v>
      </c>
      <c r="N1" s="2">
        <v>3</v>
      </c>
      <c r="O1" s="2">
        <v>4</v>
      </c>
      <c r="P1" s="2">
        <v>5</v>
      </c>
      <c r="Q1" s="2">
        <v>6</v>
      </c>
      <c r="R1" s="2">
        <v>7</v>
      </c>
      <c r="S1" s="2">
        <v>8</v>
      </c>
      <c r="T1" s="2">
        <v>9</v>
      </c>
      <c r="U1" s="2">
        <v>10</v>
      </c>
      <c r="W1" s="2" t="s">
        <v>11</v>
      </c>
      <c r="X1" s="2"/>
      <c r="Y1" s="2" t="s">
        <v>9</v>
      </c>
      <c r="Z1" s="2"/>
      <c r="AM1" s="5" t="s">
        <v>12</v>
      </c>
    </row>
    <row r="2" spans="1:39" x14ac:dyDescent="0.25">
      <c r="A2" s="3" t="s">
        <v>2</v>
      </c>
      <c r="B2" s="3">
        <v>24</v>
      </c>
      <c r="C2" s="3">
        <v>1</v>
      </c>
      <c r="D2" s="3">
        <v>55980.383999999998</v>
      </c>
      <c r="E2" s="3">
        <v>1.238</v>
      </c>
      <c r="F2" s="3">
        <v>262</v>
      </c>
      <c r="H2" s="3" t="s">
        <v>2</v>
      </c>
      <c r="I2" s="3">
        <v>24</v>
      </c>
      <c r="J2" s="3">
        <v>1</v>
      </c>
      <c r="L2" s="3">
        <f ca="1">INDIRECT("D"&amp;1+(ROW(D1)-1)*10+COLUMN(A1)-1)</f>
        <v>56006.678</v>
      </c>
      <c r="M2" s="3">
        <f t="shared" ref="M2:U10" ca="1" si="0">INDIRECT("D"&amp;1+(ROW(E1)-1)*10+COLUMN(B1)-1)</f>
        <v>55980.383999999998</v>
      </c>
      <c r="N2" s="3">
        <f t="shared" ca="1" si="0"/>
        <v>55996.559000000001</v>
      </c>
      <c r="O2" s="3">
        <f t="shared" ca="1" si="0"/>
        <v>55987.216</v>
      </c>
      <c r="P2" s="3">
        <f t="shared" ca="1" si="0"/>
        <v>55989.218000000001</v>
      </c>
      <c r="Q2" s="3">
        <f t="shared" ca="1" si="0"/>
        <v>55994.298999999999</v>
      </c>
      <c r="R2" s="3">
        <f t="shared" ca="1" si="0"/>
        <v>56038.106</v>
      </c>
      <c r="S2" s="3">
        <f t="shared" ca="1" si="0"/>
        <v>55997.898000000001</v>
      </c>
      <c r="T2" s="3">
        <f t="shared" ca="1" si="0"/>
        <v>55994.146000000001</v>
      </c>
      <c r="U2" s="3">
        <f t="shared" ca="1" si="0"/>
        <v>55994.150999999998</v>
      </c>
      <c r="W2" s="3">
        <f ca="1">AVERAGE(L2:U2)</f>
        <v>55997.865499999993</v>
      </c>
      <c r="Y2" s="3">
        <f ca="1">Total!E2</f>
        <v>55722.476000000002</v>
      </c>
      <c r="AB2" s="3">
        <f t="shared" ref="AB2:AK10" ca="1" si="1">(L2-$Y2)/$Y2</f>
        <v>5.100311766476376E-3</v>
      </c>
      <c r="AC2" s="3">
        <f t="shared" ca="1" si="1"/>
        <v>4.6284375446632303E-3</v>
      </c>
      <c r="AD2" s="3">
        <f t="shared" ca="1" si="1"/>
        <v>4.9187153851526395E-3</v>
      </c>
      <c r="AE2" s="3">
        <f t="shared" ca="1" si="1"/>
        <v>4.7510451617404428E-3</v>
      </c>
      <c r="AF2" s="3">
        <f t="shared" ca="1" si="1"/>
        <v>4.7869732134659332E-3</v>
      </c>
      <c r="AG2" s="3">
        <f t="shared" ca="1" si="1"/>
        <v>4.8781572448431164E-3</v>
      </c>
      <c r="AH2" s="3">
        <f t="shared" ca="1" si="1"/>
        <v>5.6643211618951994E-3</v>
      </c>
      <c r="AI2" s="3">
        <f t="shared" ca="1" si="1"/>
        <v>4.9427451859820198E-3</v>
      </c>
      <c r="AJ2" s="3">
        <f t="shared" ca="1" si="1"/>
        <v>4.8754114946363515E-3</v>
      </c>
      <c r="AK2" s="3">
        <f t="shared" ca="1" si="1"/>
        <v>4.8755012250352196E-3</v>
      </c>
      <c r="AM2" s="3">
        <f ca="1">SUM(AB2:AK2)</f>
        <v>4.9421619383890524E-2</v>
      </c>
    </row>
    <row r="3" spans="1:39" x14ac:dyDescent="0.25">
      <c r="A3" s="3" t="s">
        <v>2</v>
      </c>
      <c r="B3" s="3">
        <v>24</v>
      </c>
      <c r="C3" s="3">
        <v>1</v>
      </c>
      <c r="D3" s="3">
        <v>55996.559000000001</v>
      </c>
      <c r="E3" s="3">
        <v>1.236</v>
      </c>
      <c r="F3" s="3">
        <v>266</v>
      </c>
      <c r="H3" s="3" t="s">
        <v>2</v>
      </c>
      <c r="I3" s="3">
        <v>47</v>
      </c>
      <c r="J3" s="3">
        <v>1</v>
      </c>
      <c r="L3" s="3">
        <f t="shared" ref="L3:L10" ca="1" si="2">INDIRECT("D"&amp;1+(ROW(D2)-1)*10+COLUMN(A2)-1)</f>
        <v>126213.079</v>
      </c>
      <c r="M3" s="3">
        <f t="shared" ca="1" si="0"/>
        <v>126249.859</v>
      </c>
      <c r="N3" s="3">
        <f t="shared" ca="1" si="0"/>
        <v>126501.463</v>
      </c>
      <c r="O3" s="3">
        <f t="shared" ca="1" si="0"/>
        <v>126240.132</v>
      </c>
      <c r="P3" s="3">
        <f t="shared" ca="1" si="0"/>
        <v>126280.69100000001</v>
      </c>
      <c r="Q3" s="3">
        <f t="shared" ca="1" si="0"/>
        <v>126255.469</v>
      </c>
      <c r="R3" s="3">
        <f t="shared" ca="1" si="0"/>
        <v>126322.087</v>
      </c>
      <c r="S3" s="3">
        <f t="shared" ca="1" si="0"/>
        <v>126237.916</v>
      </c>
      <c r="T3" s="3">
        <f t="shared" ca="1" si="0"/>
        <v>126270.89</v>
      </c>
      <c r="U3" s="3">
        <f t="shared" ca="1" si="0"/>
        <v>126270.28599999999</v>
      </c>
      <c r="W3" s="3">
        <f t="shared" ref="W3:W10" ca="1" si="3">AVERAGE(L3:U3)</f>
        <v>126284.1872</v>
      </c>
      <c r="Y3" s="3">
        <f ca="1">Total!E3</f>
        <v>126021.209</v>
      </c>
      <c r="AB3" s="3">
        <f t="shared" ca="1" si="1"/>
        <v>1.5225214987422899E-3</v>
      </c>
      <c r="AC3" s="3">
        <f t="shared" ca="1" si="1"/>
        <v>1.8143771339314335E-3</v>
      </c>
      <c r="AD3" s="3">
        <f t="shared" ca="1" si="1"/>
        <v>3.8108982115859624E-3</v>
      </c>
      <c r="AE3" s="3">
        <f t="shared" ca="1" si="1"/>
        <v>1.7371917134995525E-3</v>
      </c>
      <c r="AF3" s="3">
        <f t="shared" ca="1" si="1"/>
        <v>2.059034364604482E-3</v>
      </c>
      <c r="AG3" s="3">
        <f t="shared" ca="1" si="1"/>
        <v>1.8588934502286418E-3</v>
      </c>
      <c r="AH3" s="3">
        <f t="shared" ca="1" si="1"/>
        <v>2.3875187548787679E-3</v>
      </c>
      <c r="AI3" s="3">
        <f t="shared" ca="1" si="1"/>
        <v>1.7196073718035419E-3</v>
      </c>
      <c r="AJ3" s="3">
        <f t="shared" ca="1" si="1"/>
        <v>1.9812617414263723E-3</v>
      </c>
      <c r="AK3" s="3">
        <f t="shared" ca="1" si="1"/>
        <v>1.9764688973900432E-3</v>
      </c>
      <c r="AM3" s="3">
        <f t="shared" ref="AM3:AM10" ca="1" si="4">SUM(AB3:AK3)</f>
        <v>2.0867773138091086E-2</v>
      </c>
    </row>
    <row r="4" spans="1:39" x14ac:dyDescent="0.25">
      <c r="A4" s="3" t="s">
        <v>2</v>
      </c>
      <c r="B4" s="3">
        <v>24</v>
      </c>
      <c r="C4" s="3">
        <v>1</v>
      </c>
      <c r="D4" s="3">
        <v>55987.216</v>
      </c>
      <c r="E4" s="3">
        <v>1.2390000000000001</v>
      </c>
      <c r="F4" s="3">
        <v>269</v>
      </c>
      <c r="H4" s="3" t="s">
        <v>2</v>
      </c>
      <c r="I4" s="3">
        <v>100</v>
      </c>
      <c r="J4" s="3">
        <v>1</v>
      </c>
      <c r="L4" s="3">
        <f t="shared" ca="1" si="2"/>
        <v>1216726.706</v>
      </c>
      <c r="M4" s="3">
        <f t="shared" ca="1" si="0"/>
        <v>1216697.8289999999</v>
      </c>
      <c r="N4" s="3">
        <f t="shared" ca="1" si="0"/>
        <v>1216906.324</v>
      </c>
      <c r="O4" s="3">
        <f t="shared" ca="1" si="0"/>
        <v>1217031.6850000001</v>
      </c>
      <c r="P4" s="3">
        <f t="shared" ca="1" si="0"/>
        <v>1216849.791</v>
      </c>
      <c r="Q4" s="3">
        <f t="shared" ca="1" si="0"/>
        <v>1217078.0719999999</v>
      </c>
      <c r="R4" s="3">
        <f t="shared" ca="1" si="0"/>
        <v>1217044.6529999999</v>
      </c>
      <c r="S4" s="3">
        <f t="shared" ca="1" si="0"/>
        <v>1216755.898</v>
      </c>
      <c r="T4" s="3">
        <f t="shared" ca="1" si="0"/>
        <v>1217093.4439999999</v>
      </c>
      <c r="U4" s="3">
        <f t="shared" ca="1" si="0"/>
        <v>1216855.6370000001</v>
      </c>
      <c r="W4" s="3">
        <f t="shared" ca="1" si="3"/>
        <v>1216904.0038999999</v>
      </c>
      <c r="Y4" s="3">
        <f ca="1">Total!E4</f>
        <v>1216556.6340000001</v>
      </c>
      <c r="AB4" s="3">
        <f t="shared" ca="1" si="1"/>
        <v>1.3979784849040358E-4</v>
      </c>
      <c r="AC4" s="3">
        <f t="shared" ca="1" si="1"/>
        <v>1.1606118125022066E-4</v>
      </c>
      <c r="AD4" s="3">
        <f t="shared" ca="1" si="1"/>
        <v>2.8744243401984036E-4</v>
      </c>
      <c r="AE4" s="3">
        <f t="shared" ca="1" si="1"/>
        <v>3.9048819160849489E-4</v>
      </c>
      <c r="AF4" s="3">
        <f t="shared" ca="1" si="1"/>
        <v>2.409727519515463E-4</v>
      </c>
      <c r="AG4" s="3">
        <f t="shared" ca="1" si="1"/>
        <v>4.2861794134924677E-4</v>
      </c>
      <c r="AH4" s="3">
        <f t="shared" ca="1" si="1"/>
        <v>4.0114778577571319E-4</v>
      </c>
      <c r="AI4" s="3">
        <f t="shared" ca="1" si="1"/>
        <v>1.6379344325696756E-4</v>
      </c>
      <c r="AJ4" s="3">
        <f t="shared" ca="1" si="1"/>
        <v>4.4125360463886389E-4</v>
      </c>
      <c r="AK4" s="3">
        <f t="shared" ca="1" si="1"/>
        <v>2.4577811804528458E-4</v>
      </c>
      <c r="AM4" s="3">
        <f t="shared" ca="1" si="4"/>
        <v>2.8553533003865825E-3</v>
      </c>
    </row>
    <row r="5" spans="1:39" x14ac:dyDescent="0.25">
      <c r="A5" s="3" t="s">
        <v>2</v>
      </c>
      <c r="B5" s="3">
        <v>24</v>
      </c>
      <c r="C5" s="3">
        <v>1</v>
      </c>
      <c r="D5" s="3">
        <v>55989.218000000001</v>
      </c>
      <c r="E5" s="3">
        <v>1.2370000000000001</v>
      </c>
      <c r="F5" s="3">
        <v>260</v>
      </c>
      <c r="H5" s="3" t="s">
        <v>1</v>
      </c>
      <c r="I5" s="3">
        <v>30</v>
      </c>
      <c r="J5" s="3">
        <v>1</v>
      </c>
      <c r="L5" s="3">
        <f t="shared" ca="1" si="2"/>
        <v>20004.763999999999</v>
      </c>
      <c r="M5" s="3">
        <f t="shared" ca="1" si="0"/>
        <v>20005.925999999999</v>
      </c>
      <c r="N5" s="3">
        <f t="shared" ca="1" si="0"/>
        <v>20024.401000000002</v>
      </c>
      <c r="O5" s="3">
        <f t="shared" ca="1" si="0"/>
        <v>20009.900000000001</v>
      </c>
      <c r="P5" s="3">
        <f t="shared" ca="1" si="0"/>
        <v>19996.623</v>
      </c>
      <c r="Q5" s="3">
        <f t="shared" ca="1" si="0"/>
        <v>20005.337</v>
      </c>
      <c r="R5" s="3">
        <f t="shared" ca="1" si="0"/>
        <v>20003.503000000001</v>
      </c>
      <c r="S5" s="3">
        <f t="shared" ca="1" si="0"/>
        <v>20001.935000000001</v>
      </c>
      <c r="T5" s="3">
        <f t="shared" ca="1" si="0"/>
        <v>20024.900000000001</v>
      </c>
      <c r="U5" s="3">
        <f t="shared" ca="1" si="0"/>
        <v>20021.278999999999</v>
      </c>
      <c r="W5" s="3">
        <f t="shared" ca="1" si="3"/>
        <v>20009.856800000001</v>
      </c>
      <c r="Y5" s="3">
        <f ca="1">Total!E5</f>
        <v>19969.536</v>
      </c>
      <c r="AB5" s="3">
        <f t="shared" ca="1" si="1"/>
        <v>1.7640870574057983E-3</v>
      </c>
      <c r="AC5" s="3">
        <f t="shared" ca="1" si="1"/>
        <v>1.8222756903314838E-3</v>
      </c>
      <c r="AD5" s="3">
        <f t="shared" ca="1" si="1"/>
        <v>2.7474348928288369E-3</v>
      </c>
      <c r="AE5" s="3">
        <f t="shared" ca="1" si="1"/>
        <v>2.0212788118863351E-3</v>
      </c>
      <c r="AF5" s="3">
        <f t="shared" ca="1" si="1"/>
        <v>1.3564160929928233E-3</v>
      </c>
      <c r="AG5" s="3">
        <f t="shared" ca="1" si="1"/>
        <v>1.7927807636591794E-3</v>
      </c>
      <c r="AH5" s="3">
        <f t="shared" ca="1" si="1"/>
        <v>1.7009408731379913E-3</v>
      </c>
      <c r="AI5" s="3">
        <f t="shared" ca="1" si="1"/>
        <v>1.6224212720816974E-3</v>
      </c>
      <c r="AJ5" s="3">
        <f t="shared" ca="1" si="1"/>
        <v>2.7724229546445844E-3</v>
      </c>
      <c r="AK5" s="3">
        <f t="shared" ca="1" si="1"/>
        <v>2.5910967585826019E-3</v>
      </c>
      <c r="AM5" s="3">
        <f t="shared" ca="1" si="4"/>
        <v>2.0191155167551329E-2</v>
      </c>
    </row>
    <row r="6" spans="1:39" x14ac:dyDescent="0.25">
      <c r="A6" s="3" t="s">
        <v>2</v>
      </c>
      <c r="B6" s="3">
        <v>24</v>
      </c>
      <c r="C6" s="3">
        <v>1</v>
      </c>
      <c r="D6" s="3">
        <v>55994.298999999999</v>
      </c>
      <c r="E6" s="3">
        <v>1.238</v>
      </c>
      <c r="F6" s="3">
        <v>267</v>
      </c>
      <c r="H6" s="3" t="s">
        <v>1</v>
      </c>
      <c r="I6" s="3">
        <v>50</v>
      </c>
      <c r="J6" s="3">
        <v>1</v>
      </c>
      <c r="L6" s="3">
        <f t="shared" ca="1" si="2"/>
        <v>35308.957000000002</v>
      </c>
      <c r="M6" s="3">
        <f t="shared" ca="1" si="0"/>
        <v>35476.065999999999</v>
      </c>
      <c r="N6" s="3">
        <f t="shared" ca="1" si="0"/>
        <v>35437.417999999998</v>
      </c>
      <c r="O6" s="3">
        <f t="shared" ca="1" si="0"/>
        <v>35387.572</v>
      </c>
      <c r="P6" s="3">
        <f t="shared" ca="1" si="0"/>
        <v>35362.309000000001</v>
      </c>
      <c r="Q6" s="3">
        <f t="shared" ca="1" si="0"/>
        <v>35328.262999999999</v>
      </c>
      <c r="R6" s="3">
        <f t="shared" ca="1" si="0"/>
        <v>35295.83</v>
      </c>
      <c r="S6" s="3">
        <f t="shared" ca="1" si="0"/>
        <v>35291.506000000001</v>
      </c>
      <c r="T6" s="3">
        <f t="shared" ca="1" si="0"/>
        <v>35436.544000000002</v>
      </c>
      <c r="U6" s="3">
        <f t="shared" ca="1" si="0"/>
        <v>35421.705000000002</v>
      </c>
      <c r="W6" s="3">
        <f t="shared" ca="1" si="3"/>
        <v>35374.616999999998</v>
      </c>
      <c r="Y6" s="3">
        <f ca="1">Total!E6</f>
        <v>35277.981</v>
      </c>
      <c r="AB6" s="3">
        <f t="shared" ca="1" si="1"/>
        <v>8.7805478437108931E-4</v>
      </c>
      <c r="AC6" s="3">
        <f t="shared" ca="1" si="1"/>
        <v>5.614975528219688E-3</v>
      </c>
      <c r="AD6" s="3">
        <f t="shared" ca="1" si="1"/>
        <v>4.5194479808807111E-3</v>
      </c>
      <c r="AE6" s="3">
        <f t="shared" ca="1" si="1"/>
        <v>3.1064986400440647E-3</v>
      </c>
      <c r="AF6" s="3">
        <f t="shared" ca="1" si="1"/>
        <v>2.3903862298695986E-3</v>
      </c>
      <c r="AG6" s="3">
        <f t="shared" ca="1" si="1"/>
        <v>1.4253083247592667E-3</v>
      </c>
      <c r="AH6" s="3">
        <f t="shared" ca="1" si="1"/>
        <v>5.0595299090392895E-4</v>
      </c>
      <c r="AI6" s="3">
        <f t="shared" ca="1" si="1"/>
        <v>3.8338361824055223E-4</v>
      </c>
      <c r="AJ6" s="3">
        <f t="shared" ca="1" si="1"/>
        <v>4.4946733204488639E-3</v>
      </c>
      <c r="AK6" s="3">
        <f t="shared" ca="1" si="1"/>
        <v>4.0740426726802188E-3</v>
      </c>
      <c r="AM6" s="3">
        <f t="shared" ca="1" si="4"/>
        <v>2.7392724090417986E-2</v>
      </c>
    </row>
    <row r="7" spans="1:39" x14ac:dyDescent="0.25">
      <c r="A7" s="3" t="s">
        <v>2</v>
      </c>
      <c r="B7" s="3">
        <v>24</v>
      </c>
      <c r="C7" s="3">
        <v>1</v>
      </c>
      <c r="D7" s="3">
        <v>56038.106</v>
      </c>
      <c r="E7" s="3">
        <v>1.2370000000000001</v>
      </c>
      <c r="F7" s="3">
        <v>266</v>
      </c>
      <c r="H7" s="3" t="s">
        <v>1</v>
      </c>
      <c r="I7" s="3">
        <v>100</v>
      </c>
      <c r="J7" s="3">
        <v>1</v>
      </c>
      <c r="L7" s="3">
        <f t="shared" ca="1" si="2"/>
        <v>63158.436999999998</v>
      </c>
      <c r="M7" s="3">
        <f t="shared" ca="1" si="0"/>
        <v>63126.650999999998</v>
      </c>
      <c r="N7" s="3">
        <f t="shared" ca="1" si="0"/>
        <v>63140.847999999998</v>
      </c>
      <c r="O7" s="3">
        <f t="shared" ca="1" si="0"/>
        <v>63129.597999999998</v>
      </c>
      <c r="P7" s="3">
        <f t="shared" ca="1" si="0"/>
        <v>63194.91</v>
      </c>
      <c r="Q7" s="3">
        <f t="shared" ca="1" si="0"/>
        <v>63191.161</v>
      </c>
      <c r="R7" s="3">
        <f t="shared" ca="1" si="0"/>
        <v>63138.764999999999</v>
      </c>
      <c r="S7" s="3">
        <f t="shared" ca="1" si="0"/>
        <v>63151.957000000002</v>
      </c>
      <c r="T7" s="3">
        <f t="shared" ca="1" si="0"/>
        <v>63129.529000000002</v>
      </c>
      <c r="U7" s="3">
        <f t="shared" ca="1" si="0"/>
        <v>63193.321000000004</v>
      </c>
      <c r="W7" s="3">
        <f t="shared" ca="1" si="3"/>
        <v>63155.517700000004</v>
      </c>
      <c r="Y7" s="3">
        <f ca="1">Total!E7</f>
        <v>63035.512000000002</v>
      </c>
      <c r="AB7" s="3">
        <f t="shared" ca="1" si="1"/>
        <v>1.9500912438054859E-3</v>
      </c>
      <c r="AC7" s="3">
        <f t="shared" ca="1" si="1"/>
        <v>1.4458358012543085E-3</v>
      </c>
      <c r="AD7" s="3">
        <f t="shared" ca="1" si="1"/>
        <v>1.6710580537522355E-3</v>
      </c>
      <c r="AE7" s="3">
        <f t="shared" ca="1" si="1"/>
        <v>1.4925872260702141E-3</v>
      </c>
      <c r="AF7" s="3">
        <f t="shared" ca="1" si="1"/>
        <v>2.5287015991874713E-3</v>
      </c>
      <c r="AG7" s="3">
        <f t="shared" ca="1" si="1"/>
        <v>2.4692271873669814E-3</v>
      </c>
      <c r="AH7" s="3">
        <f t="shared" ca="1" si="1"/>
        <v>1.6380131885023314E-3</v>
      </c>
      <c r="AI7" s="3">
        <f t="shared" ca="1" si="1"/>
        <v>1.8472920470607062E-3</v>
      </c>
      <c r="AJ7" s="3">
        <f t="shared" ca="1" si="1"/>
        <v>1.4914926049938299E-3</v>
      </c>
      <c r="AK7" s="3">
        <f t="shared" ca="1" si="1"/>
        <v>2.5034935862819851E-3</v>
      </c>
      <c r="AM7" s="3">
        <f t="shared" ca="1" si="4"/>
        <v>1.9037792538275547E-2</v>
      </c>
    </row>
    <row r="8" spans="1:39" x14ac:dyDescent="0.25">
      <c r="A8" s="3" t="s">
        <v>2</v>
      </c>
      <c r="B8" s="3">
        <v>24</v>
      </c>
      <c r="C8" s="3">
        <v>1</v>
      </c>
      <c r="D8" s="3">
        <v>55997.898000000001</v>
      </c>
      <c r="E8" s="3">
        <v>1.2729999999999999</v>
      </c>
      <c r="F8" s="3">
        <v>279</v>
      </c>
      <c r="H8" s="3" t="s">
        <v>0</v>
      </c>
      <c r="I8" s="3">
        <v>25</v>
      </c>
      <c r="J8" s="3">
        <v>1</v>
      </c>
      <c r="L8" s="3">
        <f t="shared" ca="1" si="2"/>
        <v>723.36400000000003</v>
      </c>
      <c r="M8" s="3">
        <f t="shared" ca="1" si="0"/>
        <v>723.57600000000002</v>
      </c>
      <c r="N8" s="3">
        <f t="shared" ca="1" si="0"/>
        <v>723.67</v>
      </c>
      <c r="O8" s="3">
        <f t="shared" ca="1" si="0"/>
        <v>723.56200000000001</v>
      </c>
      <c r="P8" s="3">
        <f t="shared" ca="1" si="0"/>
        <v>722.96500000000003</v>
      </c>
      <c r="Q8" s="3">
        <f t="shared" ca="1" si="0"/>
        <v>723.14599999999996</v>
      </c>
      <c r="R8" s="3">
        <f t="shared" ca="1" si="0"/>
        <v>723.51</v>
      </c>
      <c r="S8" s="3">
        <f t="shared" ca="1" si="0"/>
        <v>723.5</v>
      </c>
      <c r="T8" s="3">
        <f t="shared" ca="1" si="0"/>
        <v>723.53300000000002</v>
      </c>
      <c r="U8" s="3">
        <f t="shared" ca="1" si="0"/>
        <v>723.755</v>
      </c>
      <c r="W8" s="3">
        <f t="shared" ca="1" si="3"/>
        <v>723.45810000000006</v>
      </c>
      <c r="Y8" s="3">
        <f ca="1">Total!E8</f>
        <v>722.92</v>
      </c>
      <c r="AB8" s="3">
        <f t="shared" ca="1" si="1"/>
        <v>6.1417584241696692E-4</v>
      </c>
      <c r="AC8" s="3">
        <f t="shared" ca="1" si="1"/>
        <v>9.0743097438176123E-4</v>
      </c>
      <c r="AD8" s="3">
        <f t="shared" ca="1" si="1"/>
        <v>1.0374591932717314E-3</v>
      </c>
      <c r="AE8" s="3">
        <f t="shared" ca="1" si="1"/>
        <v>8.8806506944067505E-4</v>
      </c>
      <c r="AF8" s="3">
        <f t="shared" ca="1" si="1"/>
        <v>6.2247551596404527E-5</v>
      </c>
      <c r="AG8" s="3">
        <f t="shared" ca="1" si="1"/>
        <v>3.1262103690588044E-4</v>
      </c>
      <c r="AH8" s="3">
        <f t="shared" ca="1" si="1"/>
        <v>8.1613456537380608E-4</v>
      </c>
      <c r="AI8" s="3">
        <f t="shared" ca="1" si="1"/>
        <v>8.0230177613019554E-4</v>
      </c>
      <c r="AJ8" s="3">
        <f t="shared" ca="1" si="1"/>
        <v>8.4794998063417312E-4</v>
      </c>
      <c r="AK8" s="3">
        <f t="shared" ca="1" si="1"/>
        <v>1.1550379018425779E-3</v>
      </c>
      <c r="AM8" s="3">
        <f t="shared" ca="1" si="4"/>
        <v>7.4434238919941723E-3</v>
      </c>
    </row>
    <row r="9" spans="1:39" x14ac:dyDescent="0.25">
      <c r="A9" s="3" t="s">
        <v>2</v>
      </c>
      <c r="B9" s="3">
        <v>24</v>
      </c>
      <c r="C9" s="3">
        <v>1</v>
      </c>
      <c r="D9" s="3">
        <v>55994.146000000001</v>
      </c>
      <c r="E9" s="3">
        <v>1.236</v>
      </c>
      <c r="F9" s="3">
        <v>261</v>
      </c>
      <c r="H9" s="3" t="s">
        <v>0</v>
      </c>
      <c r="I9" s="3">
        <v>50</v>
      </c>
      <c r="J9" s="3">
        <v>1</v>
      </c>
      <c r="L9" s="3">
        <f t="shared" ca="1" si="2"/>
        <v>1571.886</v>
      </c>
      <c r="M9" s="3">
        <f t="shared" ca="1" si="0"/>
        <v>1572.0909999999999</v>
      </c>
      <c r="N9" s="3">
        <f t="shared" ca="1" si="0"/>
        <v>1571.2239999999999</v>
      </c>
      <c r="O9" s="3">
        <f t="shared" ca="1" si="0"/>
        <v>1571.9849999999999</v>
      </c>
      <c r="P9" s="3">
        <f t="shared" ca="1" si="0"/>
        <v>1571.1469999999999</v>
      </c>
      <c r="Q9" s="3">
        <f t="shared" ca="1" si="0"/>
        <v>1571.88</v>
      </c>
      <c r="R9" s="3">
        <f t="shared" ca="1" si="0"/>
        <v>1571.509</v>
      </c>
      <c r="S9" s="3">
        <f t="shared" ca="1" si="0"/>
        <v>1571.162</v>
      </c>
      <c r="T9" s="3">
        <f t="shared" ca="1" si="0"/>
        <v>1571.6559999999999</v>
      </c>
      <c r="U9" s="3">
        <f t="shared" ca="1" si="0"/>
        <v>1571.5940000000001</v>
      </c>
      <c r="W9" s="3">
        <f t="shared" ca="1" si="3"/>
        <v>1571.6134000000002</v>
      </c>
      <c r="Y9" s="3">
        <f ca="1">Total!E9</f>
        <v>1570.17</v>
      </c>
      <c r="AB9" s="3">
        <f t="shared" ca="1" si="1"/>
        <v>1.0928752937579334E-3</v>
      </c>
      <c r="AC9" s="3">
        <f t="shared" ca="1" si="1"/>
        <v>1.223434405191681E-3</v>
      </c>
      <c r="AD9" s="3">
        <f t="shared" ca="1" si="1"/>
        <v>6.7126489488390426E-4</v>
      </c>
      <c r="AE9" s="3">
        <f t="shared" ca="1" si="1"/>
        <v>1.1559257914746984E-3</v>
      </c>
      <c r="AF9" s="3">
        <f t="shared" ca="1" si="1"/>
        <v>6.2222561888194386E-4</v>
      </c>
      <c r="AG9" s="3">
        <f t="shared" ca="1" si="1"/>
        <v>1.0890540514721567E-3</v>
      </c>
      <c r="AH9" s="3">
        <f t="shared" ca="1" si="1"/>
        <v>8.5277390346264522E-4</v>
      </c>
      <c r="AI9" s="3">
        <f t="shared" ca="1" si="1"/>
        <v>6.3177872459667535E-4</v>
      </c>
      <c r="AJ9" s="3">
        <f t="shared" ca="1" si="1"/>
        <v>9.463943394663484E-4</v>
      </c>
      <c r="AK9" s="3">
        <f t="shared" ca="1" si="1"/>
        <v>9.069081691791195E-4</v>
      </c>
      <c r="AM9" s="3">
        <f t="shared" ca="1" si="4"/>
        <v>9.192635192367106E-3</v>
      </c>
    </row>
    <row r="10" spans="1:39" x14ac:dyDescent="0.25">
      <c r="A10" s="3" t="s">
        <v>2</v>
      </c>
      <c r="B10" s="3">
        <v>24</v>
      </c>
      <c r="C10" s="3">
        <v>1</v>
      </c>
      <c r="D10" s="3">
        <v>55994.150999999998</v>
      </c>
      <c r="E10" s="3">
        <v>1.236</v>
      </c>
      <c r="F10" s="3">
        <v>266</v>
      </c>
      <c r="H10" s="3" t="s">
        <v>28</v>
      </c>
      <c r="I10" s="3">
        <v>100</v>
      </c>
      <c r="J10" s="3">
        <v>1</v>
      </c>
      <c r="L10" s="3">
        <f t="shared" ca="1" si="2"/>
        <v>3293.06</v>
      </c>
      <c r="M10" s="3">
        <f t="shared" ca="1" si="0"/>
        <v>3318.4290000000001</v>
      </c>
      <c r="N10" s="3">
        <f t="shared" ca="1" si="0"/>
        <v>3297.9470000000001</v>
      </c>
      <c r="O10" s="3">
        <f t="shared" ca="1" si="0"/>
        <v>3297.5839999999998</v>
      </c>
      <c r="P10" s="3">
        <f t="shared" ca="1" si="0"/>
        <v>3296.8719999999998</v>
      </c>
      <c r="Q10" s="3">
        <f t="shared" ca="1" si="0"/>
        <v>3293.7330000000002</v>
      </c>
      <c r="R10" s="3">
        <f t="shared" ca="1" si="0"/>
        <v>3321.2840000000001</v>
      </c>
      <c r="S10" s="3">
        <f t="shared" ca="1" si="0"/>
        <v>3291.002</v>
      </c>
      <c r="T10" s="3">
        <f t="shared" ca="1" si="0"/>
        <v>3318.9189999999999</v>
      </c>
      <c r="U10" s="3">
        <f t="shared" ca="1" si="0"/>
        <v>3291.9859999999999</v>
      </c>
      <c r="W10" s="3">
        <f t="shared" ca="1" si="3"/>
        <v>3302.0816</v>
      </c>
      <c r="Y10" s="3">
        <f ca="1">Total!E10</f>
        <v>3290.5340000000001</v>
      </c>
      <c r="AB10" s="3">
        <f t="shared" ca="1" si="1"/>
        <v>7.6765655665610502E-4</v>
      </c>
      <c r="AC10" s="3">
        <f t="shared" ca="1" si="1"/>
        <v>8.4773474457337256E-3</v>
      </c>
      <c r="AD10" s="3">
        <f t="shared" ca="1" si="1"/>
        <v>2.2528258331322546E-3</v>
      </c>
      <c r="AE10" s="3">
        <f t="shared" ca="1" si="1"/>
        <v>2.1425093920925072E-3</v>
      </c>
      <c r="AF10" s="3">
        <f t="shared" ca="1" si="1"/>
        <v>1.9261311385932306E-3</v>
      </c>
      <c r="AG10" s="3">
        <f t="shared" ca="1" si="1"/>
        <v>9.7218263053962337E-4</v>
      </c>
      <c r="AH10" s="3">
        <f t="shared" ca="1" si="1"/>
        <v>9.3449877740208725E-3</v>
      </c>
      <c r="AI10" s="3">
        <f t="shared" ca="1" si="1"/>
        <v>1.4222615538992978E-4</v>
      </c>
      <c r="AJ10" s="3">
        <f t="shared" ca="1" si="1"/>
        <v>8.6262594460351314E-3</v>
      </c>
      <c r="AK10" s="3">
        <f t="shared" ca="1" si="1"/>
        <v>4.4126576415857451E-4</v>
      </c>
      <c r="AM10" s="3">
        <f t="shared" ca="1" si="4"/>
        <v>3.5093392136351952E-2</v>
      </c>
    </row>
    <row r="11" spans="1:39" x14ac:dyDescent="0.25">
      <c r="A11" s="3" t="s">
        <v>2</v>
      </c>
      <c r="B11" s="3">
        <v>47</v>
      </c>
      <c r="C11" s="3">
        <v>1</v>
      </c>
      <c r="D11" s="3">
        <v>126213.079</v>
      </c>
      <c r="E11" s="3">
        <v>4.1420000000000003</v>
      </c>
      <c r="F11" s="3">
        <v>274</v>
      </c>
    </row>
    <row r="12" spans="1:39" x14ac:dyDescent="0.25">
      <c r="A12" s="3" t="s">
        <v>2</v>
      </c>
      <c r="B12" s="3">
        <v>47</v>
      </c>
      <c r="C12" s="3">
        <v>1</v>
      </c>
      <c r="D12" s="3">
        <v>126249.859</v>
      </c>
      <c r="E12" s="3">
        <v>4.1500000000000004</v>
      </c>
      <c r="F12" s="3">
        <v>271</v>
      </c>
    </row>
    <row r="13" spans="1:39" x14ac:dyDescent="0.25">
      <c r="A13" s="3" t="s">
        <v>2</v>
      </c>
      <c r="B13" s="3">
        <v>47</v>
      </c>
      <c r="C13" s="3">
        <v>1</v>
      </c>
      <c r="D13" s="3">
        <v>126501.463</v>
      </c>
      <c r="E13" s="3">
        <v>4.1440000000000001</v>
      </c>
      <c r="F13" s="3">
        <v>267</v>
      </c>
    </row>
    <row r="14" spans="1:39" x14ac:dyDescent="0.25">
      <c r="A14" s="3" t="s">
        <v>2</v>
      </c>
      <c r="B14" s="3">
        <v>47</v>
      </c>
      <c r="C14" s="3">
        <v>1</v>
      </c>
      <c r="D14" s="3">
        <v>126240.132</v>
      </c>
      <c r="E14" s="3">
        <v>4.1479999999999997</v>
      </c>
      <c r="F14" s="3">
        <v>275</v>
      </c>
    </row>
    <row r="15" spans="1:39" x14ac:dyDescent="0.25">
      <c r="A15" s="3" t="s">
        <v>2</v>
      </c>
      <c r="B15" s="3">
        <v>47</v>
      </c>
      <c r="C15" s="3">
        <v>1</v>
      </c>
      <c r="D15" s="3">
        <v>126280.69100000001</v>
      </c>
      <c r="E15" s="3">
        <v>4.1420000000000003</v>
      </c>
      <c r="F15" s="3">
        <v>271</v>
      </c>
    </row>
    <row r="16" spans="1:39" x14ac:dyDescent="0.25">
      <c r="A16" s="3" t="s">
        <v>2</v>
      </c>
      <c r="B16" s="3">
        <v>47</v>
      </c>
      <c r="C16" s="3">
        <v>1</v>
      </c>
      <c r="D16" s="3">
        <v>126255.469</v>
      </c>
      <c r="E16" s="3">
        <v>4.141</v>
      </c>
      <c r="F16" s="3">
        <v>281</v>
      </c>
    </row>
    <row r="17" spans="1:6" x14ac:dyDescent="0.25">
      <c r="A17" s="3" t="s">
        <v>2</v>
      </c>
      <c r="B17" s="3">
        <v>47</v>
      </c>
      <c r="C17" s="3">
        <v>1</v>
      </c>
      <c r="D17" s="3">
        <v>126322.087</v>
      </c>
      <c r="E17" s="3">
        <v>4.1440000000000001</v>
      </c>
      <c r="F17" s="3">
        <v>268</v>
      </c>
    </row>
    <row r="18" spans="1:6" x14ac:dyDescent="0.25">
      <c r="A18" s="3" t="s">
        <v>2</v>
      </c>
      <c r="B18" s="3">
        <v>47</v>
      </c>
      <c r="C18" s="3">
        <v>1</v>
      </c>
      <c r="D18" s="3">
        <v>126237.916</v>
      </c>
      <c r="E18" s="3">
        <v>4.1470000000000002</v>
      </c>
      <c r="F18" s="3">
        <v>276</v>
      </c>
    </row>
    <row r="19" spans="1:6" x14ac:dyDescent="0.25">
      <c r="A19" s="3" t="s">
        <v>2</v>
      </c>
      <c r="B19" s="3">
        <v>47</v>
      </c>
      <c r="C19" s="3">
        <v>1</v>
      </c>
      <c r="D19" s="3">
        <v>126270.89</v>
      </c>
      <c r="E19" s="3">
        <v>4.1500000000000004</v>
      </c>
      <c r="F19" s="3">
        <v>273</v>
      </c>
    </row>
    <row r="20" spans="1:6" x14ac:dyDescent="0.25">
      <c r="A20" s="3" t="s">
        <v>2</v>
      </c>
      <c r="B20" s="3">
        <v>47</v>
      </c>
      <c r="C20" s="3">
        <v>1</v>
      </c>
      <c r="D20" s="3">
        <v>126270.28599999999</v>
      </c>
      <c r="E20" s="3">
        <v>4.1399999999999997</v>
      </c>
      <c r="F20" s="3">
        <v>266</v>
      </c>
    </row>
    <row r="21" spans="1:6" x14ac:dyDescent="0.25">
      <c r="A21" s="3" t="s">
        <v>2</v>
      </c>
      <c r="B21" s="3">
        <v>100</v>
      </c>
      <c r="C21" s="3">
        <v>1</v>
      </c>
      <c r="D21" s="3">
        <v>1216726.706</v>
      </c>
      <c r="E21" s="3">
        <v>22.088000000000001</v>
      </c>
      <c r="F21" s="3">
        <v>284</v>
      </c>
    </row>
    <row r="22" spans="1:6" x14ac:dyDescent="0.25">
      <c r="A22" s="3" t="s">
        <v>2</v>
      </c>
      <c r="B22" s="3">
        <v>100</v>
      </c>
      <c r="C22" s="3">
        <v>1</v>
      </c>
      <c r="D22" s="3">
        <v>1216697.8289999999</v>
      </c>
      <c r="E22" s="3">
        <v>22.074999999999999</v>
      </c>
      <c r="F22" s="3">
        <v>286</v>
      </c>
    </row>
    <row r="23" spans="1:6" x14ac:dyDescent="0.25">
      <c r="A23" s="3" t="s">
        <v>2</v>
      </c>
      <c r="B23" s="3">
        <v>100</v>
      </c>
      <c r="C23" s="3">
        <v>1</v>
      </c>
      <c r="D23" s="3">
        <v>1216906.324</v>
      </c>
      <c r="E23" s="3">
        <v>22.081</v>
      </c>
      <c r="F23" s="3">
        <v>285</v>
      </c>
    </row>
    <row r="24" spans="1:6" x14ac:dyDescent="0.25">
      <c r="A24" s="3" t="s">
        <v>2</v>
      </c>
      <c r="B24" s="3">
        <v>100</v>
      </c>
      <c r="C24" s="3">
        <v>1</v>
      </c>
      <c r="D24" s="3">
        <v>1217031.6850000001</v>
      </c>
      <c r="E24" s="3">
        <v>22.08</v>
      </c>
      <c r="F24" s="3">
        <v>285</v>
      </c>
    </row>
    <row r="25" spans="1:6" x14ac:dyDescent="0.25">
      <c r="A25" s="3" t="s">
        <v>2</v>
      </c>
      <c r="B25" s="3">
        <v>100</v>
      </c>
      <c r="C25" s="3">
        <v>1</v>
      </c>
      <c r="D25" s="3">
        <v>1216849.791</v>
      </c>
      <c r="E25" s="3">
        <v>22.091999999999999</v>
      </c>
      <c r="F25" s="3">
        <v>289</v>
      </c>
    </row>
    <row r="26" spans="1:6" x14ac:dyDescent="0.25">
      <c r="A26" s="3" t="s">
        <v>2</v>
      </c>
      <c r="B26" s="3">
        <v>100</v>
      </c>
      <c r="C26" s="3">
        <v>1</v>
      </c>
      <c r="D26" s="3">
        <v>1217078.0719999999</v>
      </c>
      <c r="E26" s="3">
        <v>22.111000000000001</v>
      </c>
      <c r="F26" s="3">
        <v>284</v>
      </c>
    </row>
    <row r="27" spans="1:6" x14ac:dyDescent="0.25">
      <c r="A27" s="3" t="s">
        <v>2</v>
      </c>
      <c r="B27" s="3">
        <v>100</v>
      </c>
      <c r="C27" s="3">
        <v>1</v>
      </c>
      <c r="D27" s="3">
        <v>1217044.6529999999</v>
      </c>
      <c r="E27" s="3">
        <v>22.065000000000001</v>
      </c>
      <c r="F27" s="3">
        <v>287</v>
      </c>
    </row>
    <row r="28" spans="1:6" x14ac:dyDescent="0.25">
      <c r="A28" s="3" t="s">
        <v>2</v>
      </c>
      <c r="B28" s="3">
        <v>100</v>
      </c>
      <c r="C28" s="3">
        <v>1</v>
      </c>
      <c r="D28" s="3">
        <v>1216755.898</v>
      </c>
      <c r="E28" s="3">
        <v>22.071999999999999</v>
      </c>
      <c r="F28" s="3">
        <v>285</v>
      </c>
    </row>
    <row r="29" spans="1:6" x14ac:dyDescent="0.25">
      <c r="A29" s="3" t="s">
        <v>2</v>
      </c>
      <c r="B29" s="3">
        <v>100</v>
      </c>
      <c r="C29" s="3">
        <v>1</v>
      </c>
      <c r="D29" s="3">
        <v>1217093.4439999999</v>
      </c>
      <c r="E29" s="3">
        <v>22.079000000000001</v>
      </c>
      <c r="F29" s="3">
        <v>288</v>
      </c>
    </row>
    <row r="30" spans="1:6" x14ac:dyDescent="0.25">
      <c r="A30" s="3" t="s">
        <v>2</v>
      </c>
      <c r="B30" s="3">
        <v>100</v>
      </c>
      <c r="C30" s="3">
        <v>1</v>
      </c>
      <c r="D30" s="3">
        <v>1216855.6370000001</v>
      </c>
      <c r="E30" s="3">
        <v>22.1</v>
      </c>
      <c r="F30" s="3">
        <v>290</v>
      </c>
    </row>
    <row r="31" spans="1:6" x14ac:dyDescent="0.25">
      <c r="A31" s="3" t="s">
        <v>1</v>
      </c>
      <c r="B31" s="3">
        <v>30</v>
      </c>
      <c r="C31" s="3">
        <v>1</v>
      </c>
      <c r="D31" s="3">
        <v>20004.763999999999</v>
      </c>
      <c r="E31" s="3">
        <v>1.3480000000000001</v>
      </c>
      <c r="F31" s="3">
        <v>174</v>
      </c>
    </row>
    <row r="32" spans="1:6" x14ac:dyDescent="0.25">
      <c r="A32" s="3" t="s">
        <v>1</v>
      </c>
      <c r="B32" s="3">
        <v>30</v>
      </c>
      <c r="C32" s="3">
        <v>1</v>
      </c>
      <c r="D32" s="3">
        <v>20005.925999999999</v>
      </c>
      <c r="E32" s="3">
        <v>1.347</v>
      </c>
      <c r="F32" s="3">
        <v>171</v>
      </c>
    </row>
    <row r="33" spans="1:6" x14ac:dyDescent="0.25">
      <c r="A33" s="3" t="s">
        <v>1</v>
      </c>
      <c r="B33" s="3">
        <v>30</v>
      </c>
      <c r="C33" s="3">
        <v>1</v>
      </c>
      <c r="D33" s="3">
        <v>20024.401000000002</v>
      </c>
      <c r="E33" s="3">
        <v>1.351</v>
      </c>
      <c r="F33" s="3">
        <v>169</v>
      </c>
    </row>
    <row r="34" spans="1:6" x14ac:dyDescent="0.25">
      <c r="A34" s="3" t="s">
        <v>1</v>
      </c>
      <c r="B34" s="3">
        <v>30</v>
      </c>
      <c r="C34" s="3">
        <v>1</v>
      </c>
      <c r="D34" s="3">
        <v>20009.900000000001</v>
      </c>
      <c r="E34" s="3">
        <v>1.3480000000000001</v>
      </c>
      <c r="F34" s="3">
        <v>185</v>
      </c>
    </row>
    <row r="35" spans="1:6" x14ac:dyDescent="0.25">
      <c r="A35" s="3" t="s">
        <v>1</v>
      </c>
      <c r="B35" s="3">
        <v>30</v>
      </c>
      <c r="C35" s="3">
        <v>1</v>
      </c>
      <c r="D35" s="3">
        <v>19996.623</v>
      </c>
      <c r="E35" s="3">
        <v>1.347</v>
      </c>
      <c r="F35" s="3">
        <v>177</v>
      </c>
    </row>
    <row r="36" spans="1:6" x14ac:dyDescent="0.25">
      <c r="A36" s="3" t="s">
        <v>1</v>
      </c>
      <c r="B36" s="3">
        <v>30</v>
      </c>
      <c r="C36" s="3">
        <v>1</v>
      </c>
      <c r="D36" s="3">
        <v>20005.337</v>
      </c>
      <c r="E36" s="3">
        <v>1.347</v>
      </c>
      <c r="F36" s="3">
        <v>170</v>
      </c>
    </row>
    <row r="37" spans="1:6" x14ac:dyDescent="0.25">
      <c r="A37" s="3" t="s">
        <v>1</v>
      </c>
      <c r="B37" s="3">
        <v>30</v>
      </c>
      <c r="C37" s="3">
        <v>1</v>
      </c>
      <c r="D37" s="3">
        <v>20003.503000000001</v>
      </c>
      <c r="E37" s="3">
        <v>1.349</v>
      </c>
      <c r="F37" s="3">
        <v>192</v>
      </c>
    </row>
    <row r="38" spans="1:6" x14ac:dyDescent="0.25">
      <c r="A38" s="3" t="s">
        <v>1</v>
      </c>
      <c r="B38" s="3">
        <v>30</v>
      </c>
      <c r="C38" s="3">
        <v>1</v>
      </c>
      <c r="D38" s="3">
        <v>20001.935000000001</v>
      </c>
      <c r="E38" s="3">
        <v>1.351</v>
      </c>
      <c r="F38" s="3">
        <v>183</v>
      </c>
    </row>
    <row r="39" spans="1:6" x14ac:dyDescent="0.25">
      <c r="A39" s="3" t="s">
        <v>1</v>
      </c>
      <c r="B39" s="3">
        <v>30</v>
      </c>
      <c r="C39" s="3">
        <v>1</v>
      </c>
      <c r="D39" s="3">
        <v>20024.900000000001</v>
      </c>
      <c r="E39" s="3">
        <v>1.35</v>
      </c>
      <c r="F39" s="3">
        <v>162</v>
      </c>
    </row>
    <row r="40" spans="1:6" x14ac:dyDescent="0.25">
      <c r="A40" s="3" t="s">
        <v>1</v>
      </c>
      <c r="B40" s="3">
        <v>30</v>
      </c>
      <c r="C40" s="3">
        <v>1</v>
      </c>
      <c r="D40" s="3">
        <v>20021.278999999999</v>
      </c>
      <c r="E40" s="3">
        <v>1.349</v>
      </c>
      <c r="F40" s="3">
        <v>189</v>
      </c>
    </row>
    <row r="41" spans="1:6" x14ac:dyDescent="0.25">
      <c r="A41" s="3" t="s">
        <v>1</v>
      </c>
      <c r="B41" s="3">
        <v>50</v>
      </c>
      <c r="C41" s="3">
        <v>1</v>
      </c>
      <c r="D41" s="3">
        <v>35308.957000000002</v>
      </c>
      <c r="E41" s="3">
        <v>3.0409999999999999</v>
      </c>
      <c r="F41" s="3">
        <v>149</v>
      </c>
    </row>
    <row r="42" spans="1:6" x14ac:dyDescent="0.25">
      <c r="A42" s="3" t="s">
        <v>1</v>
      </c>
      <c r="B42" s="3">
        <v>50</v>
      </c>
      <c r="C42" s="3">
        <v>1</v>
      </c>
      <c r="D42" s="3">
        <v>35476.065999999999</v>
      </c>
      <c r="E42" s="3">
        <v>3.0379999999999998</v>
      </c>
      <c r="F42" s="3">
        <v>147</v>
      </c>
    </row>
    <row r="43" spans="1:6" x14ac:dyDescent="0.25">
      <c r="A43" s="3" t="s">
        <v>1</v>
      </c>
      <c r="B43" s="3">
        <v>50</v>
      </c>
      <c r="C43" s="3">
        <v>1</v>
      </c>
      <c r="D43" s="3">
        <v>35437.417999999998</v>
      </c>
      <c r="E43" s="3">
        <v>3.04</v>
      </c>
      <c r="F43" s="3">
        <v>152</v>
      </c>
    </row>
    <row r="44" spans="1:6" x14ac:dyDescent="0.25">
      <c r="A44" s="3" t="s">
        <v>1</v>
      </c>
      <c r="B44" s="3">
        <v>50</v>
      </c>
      <c r="C44" s="3">
        <v>1</v>
      </c>
      <c r="D44" s="3">
        <v>35387.572</v>
      </c>
      <c r="E44" s="3">
        <v>3.04</v>
      </c>
      <c r="F44" s="3">
        <v>159</v>
      </c>
    </row>
    <row r="45" spans="1:6" x14ac:dyDescent="0.25">
      <c r="A45" s="3" t="s">
        <v>1</v>
      </c>
      <c r="B45" s="3">
        <v>50</v>
      </c>
      <c r="C45" s="3">
        <v>1</v>
      </c>
      <c r="D45" s="3">
        <v>35362.309000000001</v>
      </c>
      <c r="E45" s="3">
        <v>3.0369999999999999</v>
      </c>
      <c r="F45" s="3">
        <v>154</v>
      </c>
    </row>
    <row r="46" spans="1:6" x14ac:dyDescent="0.25">
      <c r="A46" s="3" t="s">
        <v>1</v>
      </c>
      <c r="B46" s="3">
        <v>50</v>
      </c>
      <c r="C46" s="3">
        <v>1</v>
      </c>
      <c r="D46" s="3">
        <v>35328.262999999999</v>
      </c>
      <c r="E46" s="3">
        <v>3.0329999999999999</v>
      </c>
      <c r="F46" s="3">
        <v>156</v>
      </c>
    </row>
    <row r="47" spans="1:6" x14ac:dyDescent="0.25">
      <c r="A47" s="3" t="s">
        <v>1</v>
      </c>
      <c r="B47" s="3">
        <v>50</v>
      </c>
      <c r="C47" s="3">
        <v>1</v>
      </c>
      <c r="D47" s="3">
        <v>35295.83</v>
      </c>
      <c r="E47" s="3">
        <v>3.0470000000000002</v>
      </c>
      <c r="F47" s="3">
        <v>146</v>
      </c>
    </row>
    <row r="48" spans="1:6" x14ac:dyDescent="0.25">
      <c r="A48" s="3" t="s">
        <v>1</v>
      </c>
      <c r="B48" s="3">
        <v>50</v>
      </c>
      <c r="C48" s="3">
        <v>1</v>
      </c>
      <c r="D48" s="3">
        <v>35291.506000000001</v>
      </c>
      <c r="E48" s="3">
        <v>3.032</v>
      </c>
      <c r="F48" s="3">
        <v>161</v>
      </c>
    </row>
    <row r="49" spans="1:6" x14ac:dyDescent="0.25">
      <c r="A49" s="3" t="s">
        <v>1</v>
      </c>
      <c r="B49" s="3">
        <v>50</v>
      </c>
      <c r="C49" s="3">
        <v>1</v>
      </c>
      <c r="D49" s="3">
        <v>35436.544000000002</v>
      </c>
      <c r="E49" s="3">
        <v>3.0339999999999998</v>
      </c>
      <c r="F49" s="3">
        <v>161</v>
      </c>
    </row>
    <row r="50" spans="1:6" x14ac:dyDescent="0.25">
      <c r="A50" s="3" t="s">
        <v>1</v>
      </c>
      <c r="B50" s="3">
        <v>50</v>
      </c>
      <c r="C50" s="3">
        <v>1</v>
      </c>
      <c r="D50" s="3">
        <v>35421.705000000002</v>
      </c>
      <c r="E50" s="3">
        <v>3.0369999999999999</v>
      </c>
      <c r="F50" s="3">
        <v>158</v>
      </c>
    </row>
    <row r="51" spans="1:6" x14ac:dyDescent="0.25">
      <c r="A51" s="3" t="s">
        <v>1</v>
      </c>
      <c r="B51" s="3">
        <v>100</v>
      </c>
      <c r="C51" s="3">
        <v>1</v>
      </c>
      <c r="D51" s="3">
        <v>63158.436999999998</v>
      </c>
      <c r="E51" s="3">
        <v>11.721</v>
      </c>
      <c r="F51" s="3">
        <v>156</v>
      </c>
    </row>
    <row r="52" spans="1:6" x14ac:dyDescent="0.25">
      <c r="A52" s="3" t="s">
        <v>1</v>
      </c>
      <c r="B52" s="3">
        <v>100</v>
      </c>
      <c r="C52" s="3">
        <v>1</v>
      </c>
      <c r="D52" s="3">
        <v>63126.650999999998</v>
      </c>
      <c r="E52" s="3">
        <v>11.712999999999999</v>
      </c>
      <c r="F52" s="3">
        <v>158</v>
      </c>
    </row>
    <row r="53" spans="1:6" x14ac:dyDescent="0.25">
      <c r="A53" s="3" t="s">
        <v>1</v>
      </c>
      <c r="B53" s="3">
        <v>100</v>
      </c>
      <c r="C53" s="3">
        <v>1</v>
      </c>
      <c r="D53" s="3">
        <v>63140.847999999998</v>
      </c>
      <c r="E53" s="3">
        <v>11.699</v>
      </c>
      <c r="F53" s="3">
        <v>154</v>
      </c>
    </row>
    <row r="54" spans="1:6" x14ac:dyDescent="0.25">
      <c r="A54" s="3" t="s">
        <v>1</v>
      </c>
      <c r="B54" s="3">
        <v>100</v>
      </c>
      <c r="C54" s="3">
        <v>1</v>
      </c>
      <c r="D54" s="3">
        <v>63129.597999999998</v>
      </c>
      <c r="E54" s="3">
        <v>11.676</v>
      </c>
      <c r="F54" s="3">
        <v>157</v>
      </c>
    </row>
    <row r="55" spans="1:6" x14ac:dyDescent="0.25">
      <c r="A55" s="3" t="s">
        <v>1</v>
      </c>
      <c r="B55" s="3">
        <v>100</v>
      </c>
      <c r="C55" s="3">
        <v>1</v>
      </c>
      <c r="D55" s="3">
        <v>63194.91</v>
      </c>
      <c r="E55" s="3">
        <v>11.706</v>
      </c>
      <c r="F55" s="3">
        <v>157</v>
      </c>
    </row>
    <row r="56" spans="1:6" x14ac:dyDescent="0.25">
      <c r="A56" s="3" t="s">
        <v>1</v>
      </c>
      <c r="B56" s="3">
        <v>100</v>
      </c>
      <c r="C56" s="3">
        <v>1</v>
      </c>
      <c r="D56" s="3">
        <v>63191.161</v>
      </c>
      <c r="E56" s="3">
        <v>11.686999999999999</v>
      </c>
      <c r="F56" s="3">
        <v>154</v>
      </c>
    </row>
    <row r="57" spans="1:6" x14ac:dyDescent="0.25">
      <c r="A57" s="3" t="s">
        <v>1</v>
      </c>
      <c r="B57" s="3">
        <v>100</v>
      </c>
      <c r="C57" s="3">
        <v>1</v>
      </c>
      <c r="D57" s="3">
        <v>63138.764999999999</v>
      </c>
      <c r="E57" s="3">
        <v>11.694000000000001</v>
      </c>
      <c r="F57" s="3">
        <v>155</v>
      </c>
    </row>
    <row r="58" spans="1:6" x14ac:dyDescent="0.25">
      <c r="A58" s="3" t="s">
        <v>1</v>
      </c>
      <c r="B58" s="3">
        <v>100</v>
      </c>
      <c r="C58" s="3">
        <v>1</v>
      </c>
      <c r="D58" s="3">
        <v>63151.957000000002</v>
      </c>
      <c r="E58" s="3">
        <v>11.68</v>
      </c>
      <c r="F58" s="3">
        <v>157</v>
      </c>
    </row>
    <row r="59" spans="1:6" x14ac:dyDescent="0.25">
      <c r="A59" s="3" t="s">
        <v>1</v>
      </c>
      <c r="B59" s="3">
        <v>100</v>
      </c>
      <c r="C59" s="3">
        <v>1</v>
      </c>
      <c r="D59" s="3">
        <v>63129.529000000002</v>
      </c>
      <c r="E59" s="3">
        <v>11.698</v>
      </c>
      <c r="F59" s="3">
        <v>156</v>
      </c>
    </row>
    <row r="60" spans="1:6" x14ac:dyDescent="0.25">
      <c r="A60" s="3" t="s">
        <v>1</v>
      </c>
      <c r="B60" s="3">
        <v>100</v>
      </c>
      <c r="C60" s="3">
        <v>1</v>
      </c>
      <c r="D60" s="3">
        <v>63193.321000000004</v>
      </c>
      <c r="E60" s="3">
        <v>11.712</v>
      </c>
      <c r="F60" s="3">
        <v>157</v>
      </c>
    </row>
    <row r="61" spans="1:6" x14ac:dyDescent="0.25">
      <c r="A61" s="3" t="s">
        <v>0</v>
      </c>
      <c r="B61" s="3">
        <v>25</v>
      </c>
      <c r="C61" s="3">
        <v>1</v>
      </c>
      <c r="D61" s="3">
        <v>723.36400000000003</v>
      </c>
      <c r="E61" s="3">
        <v>0.92100000000000004</v>
      </c>
      <c r="F61" s="3">
        <v>142</v>
      </c>
    </row>
    <row r="62" spans="1:6" x14ac:dyDescent="0.25">
      <c r="A62" s="3" t="s">
        <v>0</v>
      </c>
      <c r="B62" s="3">
        <v>25</v>
      </c>
      <c r="C62" s="3">
        <v>1</v>
      </c>
      <c r="D62" s="3">
        <v>723.57600000000002</v>
      </c>
      <c r="E62" s="3">
        <v>0.90500000000000003</v>
      </c>
      <c r="F62" s="3">
        <v>173</v>
      </c>
    </row>
    <row r="63" spans="1:6" x14ac:dyDescent="0.25">
      <c r="A63" s="3" t="s">
        <v>0</v>
      </c>
      <c r="B63" s="3">
        <v>25</v>
      </c>
      <c r="C63" s="3">
        <v>1</v>
      </c>
      <c r="D63" s="3">
        <v>723.67</v>
      </c>
      <c r="E63" s="3">
        <v>0.90300000000000002</v>
      </c>
      <c r="F63" s="3">
        <v>162</v>
      </c>
    </row>
    <row r="64" spans="1:6" x14ac:dyDescent="0.25">
      <c r="A64" s="3" t="s">
        <v>0</v>
      </c>
      <c r="B64" s="3">
        <v>25</v>
      </c>
      <c r="C64" s="3">
        <v>1</v>
      </c>
      <c r="D64" s="3">
        <v>723.56200000000001</v>
      </c>
      <c r="E64" s="3">
        <v>0.90100000000000002</v>
      </c>
      <c r="F64" s="3">
        <v>169</v>
      </c>
    </row>
    <row r="65" spans="1:6" x14ac:dyDescent="0.25">
      <c r="A65" s="3" t="s">
        <v>0</v>
      </c>
      <c r="B65" s="3">
        <v>25</v>
      </c>
      <c r="C65" s="3">
        <v>1</v>
      </c>
      <c r="D65" s="3">
        <v>722.96500000000003</v>
      </c>
      <c r="E65" s="3">
        <v>0.90200000000000002</v>
      </c>
      <c r="F65" s="3">
        <v>139</v>
      </c>
    </row>
    <row r="66" spans="1:6" x14ac:dyDescent="0.25">
      <c r="A66" s="3" t="s">
        <v>0</v>
      </c>
      <c r="B66" s="3">
        <v>25</v>
      </c>
      <c r="C66" s="3">
        <v>1</v>
      </c>
      <c r="D66" s="3">
        <v>723.14599999999996</v>
      </c>
      <c r="E66" s="3">
        <v>0.90300000000000002</v>
      </c>
      <c r="F66" s="3">
        <v>174</v>
      </c>
    </row>
    <row r="67" spans="1:6" x14ac:dyDescent="0.25">
      <c r="A67" s="3" t="s">
        <v>0</v>
      </c>
      <c r="B67" s="3">
        <v>25</v>
      </c>
      <c r="C67" s="3">
        <v>1</v>
      </c>
      <c r="D67" s="3">
        <v>723.51</v>
      </c>
      <c r="E67" s="3">
        <v>0.90300000000000002</v>
      </c>
      <c r="F67" s="3">
        <v>138</v>
      </c>
    </row>
    <row r="68" spans="1:6" x14ac:dyDescent="0.25">
      <c r="A68" s="3" t="s">
        <v>0</v>
      </c>
      <c r="B68" s="3">
        <v>25</v>
      </c>
      <c r="C68" s="3">
        <v>1</v>
      </c>
      <c r="D68" s="3">
        <v>723.5</v>
      </c>
      <c r="E68" s="3">
        <v>0.90200000000000002</v>
      </c>
      <c r="F68" s="3">
        <v>183</v>
      </c>
    </row>
    <row r="69" spans="1:6" x14ac:dyDescent="0.25">
      <c r="A69" s="3" t="s">
        <v>0</v>
      </c>
      <c r="B69" s="3">
        <v>25</v>
      </c>
      <c r="C69" s="3">
        <v>1</v>
      </c>
      <c r="D69" s="3">
        <v>723.53300000000002</v>
      </c>
      <c r="E69" s="3">
        <v>0.90300000000000002</v>
      </c>
      <c r="F69" s="3">
        <v>140</v>
      </c>
    </row>
    <row r="70" spans="1:6" x14ac:dyDescent="0.25">
      <c r="A70" s="3" t="s">
        <v>0</v>
      </c>
      <c r="B70" s="3">
        <v>25</v>
      </c>
      <c r="C70" s="3">
        <v>1</v>
      </c>
      <c r="D70" s="3">
        <v>723.755</v>
      </c>
      <c r="E70" s="3">
        <v>0.90200000000000002</v>
      </c>
      <c r="F70" s="3">
        <v>168</v>
      </c>
    </row>
    <row r="71" spans="1:6" x14ac:dyDescent="0.25">
      <c r="A71" s="3" t="s">
        <v>0</v>
      </c>
      <c r="B71" s="3">
        <v>50</v>
      </c>
      <c r="C71" s="3">
        <v>1</v>
      </c>
      <c r="D71" s="3">
        <v>1571.886</v>
      </c>
      <c r="E71" s="3">
        <v>3.367</v>
      </c>
      <c r="F71" s="3">
        <v>184</v>
      </c>
    </row>
    <row r="72" spans="1:6" x14ac:dyDescent="0.25">
      <c r="A72" s="3" t="s">
        <v>0</v>
      </c>
      <c r="B72" s="3">
        <v>50</v>
      </c>
      <c r="C72" s="3">
        <v>1</v>
      </c>
      <c r="D72" s="3">
        <v>1572.0909999999999</v>
      </c>
      <c r="E72" s="3">
        <v>3.3780000000000001</v>
      </c>
      <c r="F72" s="3">
        <v>166</v>
      </c>
    </row>
    <row r="73" spans="1:6" x14ac:dyDescent="0.25">
      <c r="A73" s="3" t="s">
        <v>0</v>
      </c>
      <c r="B73" s="3">
        <v>50</v>
      </c>
      <c r="C73" s="3">
        <v>1</v>
      </c>
      <c r="D73" s="3">
        <v>1571.2239999999999</v>
      </c>
      <c r="E73" s="3">
        <v>3.3679999999999999</v>
      </c>
      <c r="F73" s="3">
        <v>184</v>
      </c>
    </row>
    <row r="74" spans="1:6" x14ac:dyDescent="0.25">
      <c r="A74" s="3" t="s">
        <v>0</v>
      </c>
      <c r="B74" s="3">
        <v>50</v>
      </c>
      <c r="C74" s="3">
        <v>1</v>
      </c>
      <c r="D74" s="3">
        <v>1571.9849999999999</v>
      </c>
      <c r="E74" s="3">
        <v>3.37</v>
      </c>
      <c r="F74" s="3">
        <v>167</v>
      </c>
    </row>
    <row r="75" spans="1:6" x14ac:dyDescent="0.25">
      <c r="A75" s="3" t="s">
        <v>0</v>
      </c>
      <c r="B75" s="3">
        <v>50</v>
      </c>
      <c r="C75" s="3">
        <v>1</v>
      </c>
      <c r="D75" s="3">
        <v>1571.1469999999999</v>
      </c>
      <c r="E75" s="3">
        <v>3.3740000000000001</v>
      </c>
      <c r="F75" s="3">
        <v>174</v>
      </c>
    </row>
    <row r="76" spans="1:6" x14ac:dyDescent="0.25">
      <c r="A76" s="3" t="s">
        <v>0</v>
      </c>
      <c r="B76" s="3">
        <v>50</v>
      </c>
      <c r="C76" s="3">
        <v>1</v>
      </c>
      <c r="D76" s="3">
        <v>1571.88</v>
      </c>
      <c r="E76" s="3">
        <v>3.3730000000000002</v>
      </c>
      <c r="F76" s="3">
        <v>174</v>
      </c>
    </row>
    <row r="77" spans="1:6" x14ac:dyDescent="0.25">
      <c r="A77" s="3" t="s">
        <v>0</v>
      </c>
      <c r="B77" s="3">
        <v>50</v>
      </c>
      <c r="C77" s="3">
        <v>1</v>
      </c>
      <c r="D77" s="3">
        <v>1571.509</v>
      </c>
      <c r="E77" s="3">
        <v>3.375</v>
      </c>
      <c r="F77" s="3">
        <v>174</v>
      </c>
    </row>
    <row r="78" spans="1:6" x14ac:dyDescent="0.25">
      <c r="A78" s="3" t="s">
        <v>0</v>
      </c>
      <c r="B78" s="3">
        <v>50</v>
      </c>
      <c r="C78" s="3">
        <v>1</v>
      </c>
      <c r="D78" s="3">
        <v>1571.162</v>
      </c>
      <c r="E78" s="3">
        <v>3.3820000000000001</v>
      </c>
      <c r="F78" s="3">
        <v>184</v>
      </c>
    </row>
    <row r="79" spans="1:6" x14ac:dyDescent="0.25">
      <c r="A79" s="3" t="s">
        <v>0</v>
      </c>
      <c r="B79" s="3">
        <v>50</v>
      </c>
      <c r="C79" s="3">
        <v>1</v>
      </c>
      <c r="D79" s="3">
        <v>1571.6559999999999</v>
      </c>
      <c r="E79" s="3">
        <v>3.3769999999999998</v>
      </c>
      <c r="F79" s="3">
        <v>169</v>
      </c>
    </row>
    <row r="80" spans="1:6" x14ac:dyDescent="0.25">
      <c r="A80" s="3" t="s">
        <v>0</v>
      </c>
      <c r="B80" s="3">
        <v>50</v>
      </c>
      <c r="C80" s="3">
        <v>1</v>
      </c>
      <c r="D80" s="3">
        <v>1571.5940000000001</v>
      </c>
      <c r="E80" s="3">
        <v>3.367</v>
      </c>
      <c r="F80" s="3">
        <v>169</v>
      </c>
    </row>
    <row r="81" spans="1:6" x14ac:dyDescent="0.25">
      <c r="A81" s="3" t="s">
        <v>0</v>
      </c>
      <c r="B81" s="3">
        <v>100</v>
      </c>
      <c r="C81" s="3">
        <v>1</v>
      </c>
      <c r="D81" s="3">
        <v>3293.06</v>
      </c>
      <c r="E81" s="3">
        <v>11.323</v>
      </c>
      <c r="F81" s="3">
        <v>153</v>
      </c>
    </row>
    <row r="82" spans="1:6" x14ac:dyDescent="0.25">
      <c r="A82" s="3" t="s">
        <v>0</v>
      </c>
      <c r="B82" s="3">
        <v>100</v>
      </c>
      <c r="C82" s="3">
        <v>1</v>
      </c>
      <c r="D82" s="3">
        <v>3318.4290000000001</v>
      </c>
      <c r="E82" s="3">
        <v>11.315</v>
      </c>
      <c r="F82" s="3">
        <v>152</v>
      </c>
    </row>
    <row r="83" spans="1:6" x14ac:dyDescent="0.25">
      <c r="A83" s="3" t="s">
        <v>0</v>
      </c>
      <c r="B83" s="3">
        <v>100</v>
      </c>
      <c r="C83" s="3">
        <v>1</v>
      </c>
      <c r="D83" s="3">
        <v>3297.9470000000001</v>
      </c>
      <c r="E83" s="3">
        <v>11.314</v>
      </c>
      <c r="F83" s="3">
        <v>154</v>
      </c>
    </row>
    <row r="84" spans="1:6" x14ac:dyDescent="0.25">
      <c r="A84" s="3" t="s">
        <v>0</v>
      </c>
      <c r="B84" s="3">
        <v>100</v>
      </c>
      <c r="C84" s="3">
        <v>1</v>
      </c>
      <c r="D84" s="3">
        <v>3297.5839999999998</v>
      </c>
      <c r="E84" s="3">
        <v>11.327</v>
      </c>
      <c r="F84" s="3">
        <v>153</v>
      </c>
    </row>
    <row r="85" spans="1:6" x14ac:dyDescent="0.25">
      <c r="A85" s="3" t="s">
        <v>0</v>
      </c>
      <c r="B85" s="3">
        <v>100</v>
      </c>
      <c r="C85" s="3">
        <v>1</v>
      </c>
      <c r="D85" s="3">
        <v>3296.8719999999998</v>
      </c>
      <c r="E85" s="3">
        <v>11.308999999999999</v>
      </c>
      <c r="F85" s="3">
        <v>155</v>
      </c>
    </row>
    <row r="86" spans="1:6" x14ac:dyDescent="0.25">
      <c r="A86" s="3" t="s">
        <v>0</v>
      </c>
      <c r="B86" s="3">
        <v>100</v>
      </c>
      <c r="C86" s="3">
        <v>1</v>
      </c>
      <c r="D86" s="3">
        <v>3293.7330000000002</v>
      </c>
      <c r="E86" s="3">
        <v>11.311</v>
      </c>
      <c r="F86" s="3">
        <v>156</v>
      </c>
    </row>
    <row r="87" spans="1:6" x14ac:dyDescent="0.25">
      <c r="A87" s="3" t="s">
        <v>0</v>
      </c>
      <c r="B87" s="3">
        <v>100</v>
      </c>
      <c r="C87" s="3">
        <v>1</v>
      </c>
      <c r="D87" s="3">
        <v>3321.2840000000001</v>
      </c>
      <c r="E87" s="3">
        <v>11.35</v>
      </c>
      <c r="F87" s="3">
        <v>155</v>
      </c>
    </row>
    <row r="88" spans="1:6" x14ac:dyDescent="0.25">
      <c r="A88" s="3" t="s">
        <v>0</v>
      </c>
      <c r="B88" s="3">
        <v>100</v>
      </c>
      <c r="C88" s="3">
        <v>1</v>
      </c>
      <c r="D88" s="3">
        <v>3291.002</v>
      </c>
      <c r="E88" s="3">
        <v>11.347</v>
      </c>
      <c r="F88" s="3">
        <v>158</v>
      </c>
    </row>
    <row r="89" spans="1:6" x14ac:dyDescent="0.25">
      <c r="A89" s="3" t="s">
        <v>0</v>
      </c>
      <c r="B89" s="3">
        <v>100</v>
      </c>
      <c r="C89" s="3">
        <v>1</v>
      </c>
      <c r="D89" s="3">
        <v>3318.9189999999999</v>
      </c>
      <c r="E89" s="3">
        <v>11.358000000000001</v>
      </c>
      <c r="F89" s="3">
        <v>154</v>
      </c>
    </row>
    <row r="90" spans="1:6" x14ac:dyDescent="0.25">
      <c r="A90" s="3" t="s">
        <v>0</v>
      </c>
      <c r="B90" s="3">
        <v>100</v>
      </c>
      <c r="C90" s="3">
        <v>1</v>
      </c>
      <c r="D90" s="3">
        <v>3291.9859999999999</v>
      </c>
      <c r="E90" s="3">
        <v>11.349</v>
      </c>
      <c r="F90" s="3">
        <v>154</v>
      </c>
    </row>
  </sheetData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0"/>
  <sheetViews>
    <sheetView zoomScale="85" zoomScaleNormal="85" workbookViewId="0">
      <selection sqref="A1:F91"/>
    </sheetView>
  </sheetViews>
  <sheetFormatPr defaultColWidth="9" defaultRowHeight="15" x14ac:dyDescent="0.25"/>
  <cols>
    <col min="1" max="1" width="9.625" style="3" customWidth="1"/>
    <col min="2" max="2" width="4.375" style="3" bestFit="1" customWidth="1"/>
    <col min="3" max="3" width="2.625" style="3" bestFit="1" customWidth="1"/>
    <col min="4" max="4" width="9" style="3"/>
    <col min="5" max="5" width="7" style="3" bestFit="1" customWidth="1"/>
    <col min="6" max="6" width="4.375" style="3" bestFit="1" customWidth="1"/>
    <col min="7" max="7" width="2.5" style="3" customWidth="1"/>
    <col min="8" max="8" width="10" style="3" customWidth="1"/>
    <col min="9" max="9" width="4.375" style="3" bestFit="1" customWidth="1"/>
    <col min="10" max="10" width="3.125" style="3" bestFit="1" customWidth="1"/>
    <col min="11" max="11" width="2.875" style="3" customWidth="1"/>
    <col min="12" max="21" width="9" style="3"/>
    <col min="22" max="22" width="2.75" style="3" customWidth="1"/>
    <col min="23" max="23" width="9" style="3"/>
    <col min="24" max="24" width="2.125" style="3" customWidth="1"/>
    <col min="25" max="25" width="9" style="3"/>
    <col min="26" max="26" width="2.375" style="3" customWidth="1"/>
    <col min="27" max="27" width="2" style="3" customWidth="1"/>
    <col min="28" max="37" width="9" style="3"/>
    <col min="38" max="38" width="5.625" style="3" customWidth="1"/>
    <col min="39" max="16384" width="9" style="3"/>
  </cols>
  <sheetData>
    <row r="1" spans="1:39" x14ac:dyDescent="0.25">
      <c r="A1" s="3" t="s">
        <v>2</v>
      </c>
      <c r="B1" s="3">
        <v>24</v>
      </c>
      <c r="C1" s="3">
        <v>1</v>
      </c>
      <c r="D1" s="3">
        <v>55970.58</v>
      </c>
      <c r="E1" s="3">
        <v>1.2370000000000001</v>
      </c>
      <c r="F1" s="3">
        <v>234</v>
      </c>
      <c r="H1" s="5" t="s">
        <v>13</v>
      </c>
      <c r="I1" s="5" t="s">
        <v>14</v>
      </c>
      <c r="J1" s="5" t="s">
        <v>10</v>
      </c>
      <c r="K1" s="2"/>
      <c r="L1" s="2">
        <v>1</v>
      </c>
      <c r="M1" s="2">
        <v>2</v>
      </c>
      <c r="N1" s="2">
        <v>3</v>
      </c>
      <c r="O1" s="2">
        <v>4</v>
      </c>
      <c r="P1" s="2">
        <v>5</v>
      </c>
      <c r="Q1" s="2">
        <v>6</v>
      </c>
      <c r="R1" s="2">
        <v>7</v>
      </c>
      <c r="S1" s="2">
        <v>8</v>
      </c>
      <c r="T1" s="2">
        <v>9</v>
      </c>
      <c r="U1" s="2">
        <v>10</v>
      </c>
      <c r="W1" s="2" t="s">
        <v>11</v>
      </c>
      <c r="X1" s="2"/>
      <c r="Y1" s="2" t="s">
        <v>9</v>
      </c>
      <c r="Z1" s="2"/>
      <c r="AM1" s="5" t="s">
        <v>12</v>
      </c>
    </row>
    <row r="2" spans="1:39" x14ac:dyDescent="0.25">
      <c r="A2" s="3" t="s">
        <v>2</v>
      </c>
      <c r="B2" s="3">
        <v>24</v>
      </c>
      <c r="C2" s="3">
        <v>1</v>
      </c>
      <c r="D2" s="3">
        <v>55967.097000000002</v>
      </c>
      <c r="E2" s="3">
        <v>1.2370000000000001</v>
      </c>
      <c r="F2" s="3">
        <v>257</v>
      </c>
      <c r="H2" s="3" t="s">
        <v>2</v>
      </c>
      <c r="I2" s="3">
        <v>24</v>
      </c>
      <c r="J2" s="3">
        <v>1</v>
      </c>
      <c r="L2" s="3">
        <f ca="1">INDIRECT("D"&amp;1+(ROW(D1)-1)*10+COLUMN(A1)-1)</f>
        <v>55970.58</v>
      </c>
      <c r="M2" s="3">
        <f t="shared" ref="M2:U10" ca="1" si="0">INDIRECT("D"&amp;1+(ROW(E1)-1)*10+COLUMN(B1)-1)</f>
        <v>55967.097000000002</v>
      </c>
      <c r="N2" s="3">
        <f t="shared" ca="1" si="0"/>
        <v>56014.593000000001</v>
      </c>
      <c r="O2" s="3">
        <f t="shared" ca="1" si="0"/>
        <v>56016.805</v>
      </c>
      <c r="P2" s="3">
        <f t="shared" ca="1" si="0"/>
        <v>56020.447999999997</v>
      </c>
      <c r="Q2" s="3">
        <f t="shared" ca="1" si="0"/>
        <v>56024.724000000002</v>
      </c>
      <c r="R2" s="3">
        <f t="shared" ca="1" si="0"/>
        <v>55998.785000000003</v>
      </c>
      <c r="S2" s="3">
        <f t="shared" ca="1" si="0"/>
        <v>56018.447</v>
      </c>
      <c r="T2" s="3">
        <f t="shared" ca="1" si="0"/>
        <v>56039.53</v>
      </c>
      <c r="U2" s="3">
        <f t="shared" ca="1" si="0"/>
        <v>56026.059000000001</v>
      </c>
      <c r="W2" s="3">
        <f ca="1">AVERAGE(L2:U2)</f>
        <v>56009.7068</v>
      </c>
      <c r="Y2" s="3">
        <f ca="1">Total!E2</f>
        <v>55722.476000000002</v>
      </c>
      <c r="AB2" s="3">
        <f t="shared" ref="AB2:AK10" ca="1" si="1">(L2-$Y2)/$Y2</f>
        <v>4.4524941784711679E-3</v>
      </c>
      <c r="AC2" s="3">
        <f t="shared" ca="1" si="1"/>
        <v>4.389987982587119E-3</v>
      </c>
      <c r="AD2" s="3">
        <f t="shared" ca="1" si="1"/>
        <v>5.2423549879585096E-3</v>
      </c>
      <c r="AE2" s="3">
        <f t="shared" ca="1" si="1"/>
        <v>5.2820517164384063E-3</v>
      </c>
      <c r="AF2" s="3">
        <f t="shared" ca="1" si="1"/>
        <v>5.34742928508766E-3</v>
      </c>
      <c r="AG2" s="3">
        <f t="shared" ca="1" si="1"/>
        <v>5.4241667222396858E-3</v>
      </c>
      <c r="AH2" s="3">
        <f t="shared" ca="1" si="1"/>
        <v>4.9586633587495486E-3</v>
      </c>
      <c r="AI2" s="3">
        <f t="shared" ca="1" si="1"/>
        <v>5.3115191794420209E-3</v>
      </c>
      <c r="AJ2" s="3">
        <f t="shared" ca="1" si="1"/>
        <v>5.6898763795061157E-3</v>
      </c>
      <c r="AK2" s="3">
        <f t="shared" ca="1" si="1"/>
        <v>5.4481247387499201E-3</v>
      </c>
      <c r="AM2" s="3">
        <f ca="1">SUM(AB2:AK2)</f>
        <v>5.154666852923015E-2</v>
      </c>
    </row>
    <row r="3" spans="1:39" x14ac:dyDescent="0.25">
      <c r="A3" s="3" t="s">
        <v>2</v>
      </c>
      <c r="B3" s="3">
        <v>24</v>
      </c>
      <c r="C3" s="3">
        <v>1</v>
      </c>
      <c r="D3" s="3">
        <v>56014.593000000001</v>
      </c>
      <c r="E3" s="3">
        <v>1.238</v>
      </c>
      <c r="F3" s="3">
        <v>268</v>
      </c>
      <c r="H3" s="3" t="s">
        <v>2</v>
      </c>
      <c r="I3" s="3">
        <v>47</v>
      </c>
      <c r="J3" s="3">
        <v>1</v>
      </c>
      <c r="L3" s="3">
        <f t="shared" ref="L3:L10" ca="1" si="2">INDIRECT("D"&amp;1+(ROW(D2)-1)*10+COLUMN(A2)-1)</f>
        <v>126278.97900000001</v>
      </c>
      <c r="M3" s="3">
        <f t="shared" ca="1" si="0"/>
        <v>126260.88</v>
      </c>
      <c r="N3" s="3">
        <f t="shared" ca="1" si="0"/>
        <v>126400.228</v>
      </c>
      <c r="O3" s="3">
        <f t="shared" ca="1" si="0"/>
        <v>126494.93</v>
      </c>
      <c r="P3" s="3">
        <f t="shared" ca="1" si="0"/>
        <v>126305.857</v>
      </c>
      <c r="Q3" s="3">
        <f t="shared" ca="1" si="0"/>
        <v>126282.242</v>
      </c>
      <c r="R3" s="3">
        <f t="shared" ca="1" si="0"/>
        <v>126249.84699999999</v>
      </c>
      <c r="S3" s="3">
        <f t="shared" ca="1" si="0"/>
        <v>126269.88</v>
      </c>
      <c r="T3" s="3">
        <f t="shared" ca="1" si="0"/>
        <v>126362.538</v>
      </c>
      <c r="U3" s="3">
        <f t="shared" ca="1" si="0"/>
        <v>126266.29700000001</v>
      </c>
      <c r="W3" s="3">
        <f t="shared" ref="W3:W10" ca="1" si="3">AVERAGE(L3:U3)</f>
        <v>126317.16779999998</v>
      </c>
      <c r="Y3" s="3">
        <f ca="1">Total!E3</f>
        <v>126021.209</v>
      </c>
      <c r="AB3" s="3">
        <f t="shared" ca="1" si="1"/>
        <v>2.045449349720205E-3</v>
      </c>
      <c r="AC3" s="3">
        <f t="shared" ca="1" si="1"/>
        <v>1.9018306672490509E-3</v>
      </c>
      <c r="AD3" s="3">
        <f t="shared" ca="1" si="1"/>
        <v>3.0075810493136929E-3</v>
      </c>
      <c r="AE3" s="3">
        <f t="shared" ca="1" si="1"/>
        <v>3.7590577313060887E-3</v>
      </c>
      <c r="AF3" s="3">
        <f t="shared" ca="1" si="1"/>
        <v>2.258730909334484E-3</v>
      </c>
      <c r="AG3" s="3">
        <f t="shared" ca="1" si="1"/>
        <v>2.0713418167571762E-3</v>
      </c>
      <c r="AH3" s="3">
        <f t="shared" ca="1" si="1"/>
        <v>1.8142819118644683E-3</v>
      </c>
      <c r="AI3" s="3">
        <f t="shared" ca="1" si="1"/>
        <v>1.9732472174584684E-3</v>
      </c>
      <c r="AJ3" s="3">
        <f t="shared" ca="1" si="1"/>
        <v>2.708504407381125E-3</v>
      </c>
      <c r="AK3" s="3">
        <f t="shared" ca="1" si="1"/>
        <v>1.9448154953028848E-3</v>
      </c>
      <c r="AM3" s="3">
        <f t="shared" ref="AM3:AM10" ca="1" si="4">SUM(AB3:AK3)</f>
        <v>2.3484840555687645E-2</v>
      </c>
    </row>
    <row r="4" spans="1:39" x14ac:dyDescent="0.25">
      <c r="A4" s="3" t="s">
        <v>2</v>
      </c>
      <c r="B4" s="3">
        <v>24</v>
      </c>
      <c r="C4" s="3">
        <v>1</v>
      </c>
      <c r="D4" s="3">
        <v>56016.805</v>
      </c>
      <c r="E4" s="3">
        <v>1.2370000000000001</v>
      </c>
      <c r="F4" s="3">
        <v>263</v>
      </c>
      <c r="H4" s="3" t="s">
        <v>2</v>
      </c>
      <c r="I4" s="3">
        <v>100</v>
      </c>
      <c r="J4" s="3">
        <v>1</v>
      </c>
      <c r="L4" s="3">
        <f t="shared" ca="1" si="2"/>
        <v>1216592.0560000001</v>
      </c>
      <c r="M4" s="3">
        <f t="shared" ca="1" si="0"/>
        <v>1217166.166</v>
      </c>
      <c r="N4" s="3">
        <f t="shared" ca="1" si="0"/>
        <v>1216990.6000000001</v>
      </c>
      <c r="O4" s="3">
        <f t="shared" ca="1" si="0"/>
        <v>1217381.014</v>
      </c>
      <c r="P4" s="3">
        <f t="shared" ca="1" si="0"/>
        <v>1217156.338</v>
      </c>
      <c r="Q4" s="3">
        <f t="shared" ca="1" si="0"/>
        <v>1217351.138</v>
      </c>
      <c r="R4" s="3">
        <f t="shared" ca="1" si="0"/>
        <v>1216968.1710000001</v>
      </c>
      <c r="S4" s="3">
        <f t="shared" ca="1" si="0"/>
        <v>1217209.7720000001</v>
      </c>
      <c r="T4" s="3">
        <f t="shared" ca="1" si="0"/>
        <v>1216589.4410000001</v>
      </c>
      <c r="U4" s="3">
        <f t="shared" ca="1" si="0"/>
        <v>1217154.5870000001</v>
      </c>
      <c r="W4" s="3">
        <f t="shared" ca="1" si="3"/>
        <v>1217055.9283</v>
      </c>
      <c r="Y4" s="3">
        <f ca="1">Total!E4</f>
        <v>1216556.6340000001</v>
      </c>
      <c r="AB4" s="3">
        <f t="shared" ca="1" si="1"/>
        <v>2.9116605844771947E-5</v>
      </c>
      <c r="AC4" s="3">
        <f t="shared" ca="1" si="1"/>
        <v>5.0103051758122264E-4</v>
      </c>
      <c r="AD4" s="3">
        <f t="shared" ca="1" si="1"/>
        <v>3.5671664423311578E-4</v>
      </c>
      <c r="AE4" s="3">
        <f t="shared" ca="1" si="1"/>
        <v>6.7763388646310092E-4</v>
      </c>
      <c r="AF4" s="3">
        <f t="shared" ca="1" si="1"/>
        <v>4.9295197875671656E-4</v>
      </c>
      <c r="AG4" s="3">
        <f t="shared" ca="1" si="1"/>
        <v>6.5307604906781279E-4</v>
      </c>
      <c r="AH4" s="3">
        <f t="shared" ca="1" si="1"/>
        <v>3.382801823593616E-4</v>
      </c>
      <c r="AI4" s="3">
        <f t="shared" ca="1" si="1"/>
        <v>5.3687430716031531E-4</v>
      </c>
      <c r="AJ4" s="3">
        <f t="shared" ca="1" si="1"/>
        <v>2.6967096379361653E-5</v>
      </c>
      <c r="AK4" s="3">
        <f t="shared" ca="1" si="1"/>
        <v>4.9151267050669795E-4</v>
      </c>
      <c r="AM4" s="3">
        <f t="shared" ca="1" si="4"/>
        <v>4.1041599383524769E-3</v>
      </c>
    </row>
    <row r="5" spans="1:39" x14ac:dyDescent="0.25">
      <c r="A5" s="3" t="s">
        <v>2</v>
      </c>
      <c r="B5" s="3">
        <v>24</v>
      </c>
      <c r="C5" s="3">
        <v>1</v>
      </c>
      <c r="D5" s="3">
        <v>56020.447999999997</v>
      </c>
      <c r="E5" s="3">
        <v>1.238</v>
      </c>
      <c r="F5" s="3">
        <v>262</v>
      </c>
      <c r="H5" s="3" t="s">
        <v>1</v>
      </c>
      <c r="I5" s="3">
        <v>30</v>
      </c>
      <c r="J5" s="3">
        <v>1</v>
      </c>
      <c r="L5" s="3">
        <f t="shared" ca="1" si="2"/>
        <v>20040.969000000001</v>
      </c>
      <c r="M5" s="3">
        <f t="shared" ca="1" si="0"/>
        <v>20009.011999999999</v>
      </c>
      <c r="N5" s="3">
        <f t="shared" ca="1" si="0"/>
        <v>20016.498</v>
      </c>
      <c r="O5" s="3">
        <f t="shared" ca="1" si="0"/>
        <v>20026.272000000001</v>
      </c>
      <c r="P5" s="3">
        <f t="shared" ca="1" si="0"/>
        <v>19996.363000000001</v>
      </c>
      <c r="Q5" s="3">
        <f t="shared" ca="1" si="0"/>
        <v>20002.875</v>
      </c>
      <c r="R5" s="3">
        <f t="shared" ca="1" si="0"/>
        <v>19997.223000000002</v>
      </c>
      <c r="S5" s="3">
        <f t="shared" ca="1" si="0"/>
        <v>19997.726999999999</v>
      </c>
      <c r="T5" s="3">
        <f t="shared" ca="1" si="0"/>
        <v>20031.294999999998</v>
      </c>
      <c r="U5" s="3">
        <f t="shared" ca="1" si="0"/>
        <v>20024.225999999999</v>
      </c>
      <c r="W5" s="3">
        <f t="shared" ca="1" si="3"/>
        <v>20014.245999999999</v>
      </c>
      <c r="Y5" s="3">
        <f ca="1">Total!E5</f>
        <v>19969.536</v>
      </c>
      <c r="AB5" s="3">
        <f t="shared" ca="1" si="1"/>
        <v>3.5770986366433803E-3</v>
      </c>
      <c r="AC5" s="3">
        <f t="shared" ca="1" si="1"/>
        <v>1.9768110786349143E-3</v>
      </c>
      <c r="AD5" s="3">
        <f t="shared" ca="1" si="1"/>
        <v>2.351682082147504E-3</v>
      </c>
      <c r="AE5" s="3">
        <f t="shared" ca="1" si="1"/>
        <v>2.8411276055688417E-3</v>
      </c>
      <c r="AF5" s="3">
        <f t="shared" ca="1" si="1"/>
        <v>1.3433962611850939E-3</v>
      </c>
      <c r="AG5" s="3">
        <f t="shared" ca="1" si="1"/>
        <v>1.6694929716944821E-3</v>
      </c>
      <c r="AH5" s="3">
        <f t="shared" ca="1" si="1"/>
        <v>1.3864618587032626E-3</v>
      </c>
      <c r="AI5" s="3">
        <f t="shared" ca="1" si="1"/>
        <v>1.4117003018997985E-3</v>
      </c>
      <c r="AJ5" s="3">
        <f t="shared" ca="1" si="1"/>
        <v>3.0926607408403579E-3</v>
      </c>
      <c r="AK5" s="3">
        <f t="shared" ca="1" si="1"/>
        <v>2.7386715444965115E-3</v>
      </c>
      <c r="AM5" s="3">
        <f t="shared" ca="1" si="4"/>
        <v>2.238910308181415E-2</v>
      </c>
    </row>
    <row r="6" spans="1:39" x14ac:dyDescent="0.25">
      <c r="A6" s="3" t="s">
        <v>2</v>
      </c>
      <c r="B6" s="3">
        <v>24</v>
      </c>
      <c r="C6" s="3">
        <v>1</v>
      </c>
      <c r="D6" s="3">
        <v>56024.724000000002</v>
      </c>
      <c r="E6" s="3">
        <v>1.2390000000000001</v>
      </c>
      <c r="F6" s="3">
        <v>242</v>
      </c>
      <c r="H6" s="3" t="s">
        <v>1</v>
      </c>
      <c r="I6" s="3">
        <v>50</v>
      </c>
      <c r="J6" s="3">
        <v>1</v>
      </c>
      <c r="L6" s="3">
        <f t="shared" ca="1" si="2"/>
        <v>35302.271999999997</v>
      </c>
      <c r="M6" s="3">
        <f t="shared" ca="1" si="0"/>
        <v>35315.091999999997</v>
      </c>
      <c r="N6" s="3">
        <f t="shared" ca="1" si="0"/>
        <v>35400.591999999997</v>
      </c>
      <c r="O6" s="3">
        <f t="shared" ca="1" si="0"/>
        <v>35352.512999999999</v>
      </c>
      <c r="P6" s="3">
        <f t="shared" ca="1" si="0"/>
        <v>35313.250999999997</v>
      </c>
      <c r="Q6" s="3">
        <f t="shared" ca="1" si="0"/>
        <v>35306.684999999998</v>
      </c>
      <c r="R6" s="3">
        <f t="shared" ca="1" si="0"/>
        <v>35382.175000000003</v>
      </c>
      <c r="S6" s="3">
        <f t="shared" ca="1" si="0"/>
        <v>35377.341999999997</v>
      </c>
      <c r="T6" s="3">
        <f t="shared" ca="1" si="0"/>
        <v>35434.212</v>
      </c>
      <c r="U6" s="3">
        <f t="shared" ca="1" si="0"/>
        <v>35316.79</v>
      </c>
      <c r="W6" s="3">
        <f t="shared" ca="1" si="3"/>
        <v>35350.092400000001</v>
      </c>
      <c r="Y6" s="3">
        <f ca="1">Total!E6</f>
        <v>35277.981</v>
      </c>
      <c r="AB6" s="3">
        <f t="shared" ca="1" si="1"/>
        <v>6.8855981298922514E-4</v>
      </c>
      <c r="AC6" s="3">
        <f t="shared" ca="1" si="1"/>
        <v>1.0519592943824406E-3</v>
      </c>
      <c r="AD6" s="3">
        <f t="shared" ca="1" si="1"/>
        <v>3.475567380117279E-3</v>
      </c>
      <c r="AE6" s="3">
        <f t="shared" ca="1" si="1"/>
        <v>2.1127059397191479E-3</v>
      </c>
      <c r="AF6" s="3">
        <f t="shared" ca="1" si="1"/>
        <v>9.9977376823228055E-4</v>
      </c>
      <c r="AG6" s="3">
        <f t="shared" ca="1" si="1"/>
        <v>8.1365200576523648E-4</v>
      </c>
      <c r="AH6" s="3">
        <f t="shared" ca="1" si="1"/>
        <v>2.9535136945621448E-3</v>
      </c>
      <c r="AI6" s="3">
        <f t="shared" ca="1" si="1"/>
        <v>2.8165160585578056E-3</v>
      </c>
      <c r="AJ6" s="3">
        <f t="shared" ca="1" si="1"/>
        <v>4.4285697642390525E-3</v>
      </c>
      <c r="AK6" s="3">
        <f t="shared" ca="1" si="1"/>
        <v>1.1000913005764447E-3</v>
      </c>
      <c r="AM6" s="3">
        <f t="shared" ca="1" si="4"/>
        <v>2.0440909019141057E-2</v>
      </c>
    </row>
    <row r="7" spans="1:39" x14ac:dyDescent="0.25">
      <c r="A7" s="3" t="s">
        <v>2</v>
      </c>
      <c r="B7" s="3">
        <v>24</v>
      </c>
      <c r="C7" s="3">
        <v>1</v>
      </c>
      <c r="D7" s="3">
        <v>55998.785000000003</v>
      </c>
      <c r="E7" s="3">
        <v>1.238</v>
      </c>
      <c r="F7" s="3">
        <v>260</v>
      </c>
      <c r="H7" s="3" t="s">
        <v>1</v>
      </c>
      <c r="I7" s="3">
        <v>100</v>
      </c>
      <c r="J7" s="3">
        <v>1</v>
      </c>
      <c r="L7" s="3">
        <f t="shared" ca="1" si="2"/>
        <v>63060.703999999998</v>
      </c>
      <c r="M7" s="3">
        <f t="shared" ca="1" si="0"/>
        <v>63148.213000000003</v>
      </c>
      <c r="N7" s="3">
        <f t="shared" ca="1" si="0"/>
        <v>63175.788</v>
      </c>
      <c r="O7" s="3">
        <f t="shared" ca="1" si="0"/>
        <v>63194.453999999998</v>
      </c>
      <c r="P7" s="3">
        <f t="shared" ca="1" si="0"/>
        <v>63141.631999999998</v>
      </c>
      <c r="Q7" s="3">
        <f t="shared" ca="1" si="0"/>
        <v>63138.506000000001</v>
      </c>
      <c r="R7" s="3">
        <f t="shared" ca="1" si="0"/>
        <v>63120.591</v>
      </c>
      <c r="S7" s="3">
        <f t="shared" ca="1" si="0"/>
        <v>63110.707000000002</v>
      </c>
      <c r="T7" s="3">
        <f t="shared" ca="1" si="0"/>
        <v>63127.995999999999</v>
      </c>
      <c r="U7" s="3">
        <f t="shared" ca="1" si="0"/>
        <v>63162.970999999998</v>
      </c>
      <c r="W7" s="3">
        <f t="shared" ca="1" si="3"/>
        <v>63138.156200000005</v>
      </c>
      <c r="Y7" s="3">
        <f ca="1">Total!E7</f>
        <v>63035.512000000002</v>
      </c>
      <c r="AB7" s="3">
        <f t="shared" ca="1" si="1"/>
        <v>3.9964774141908231E-4</v>
      </c>
      <c r="AC7" s="3">
        <f t="shared" ca="1" si="1"/>
        <v>1.7878969556081488E-3</v>
      </c>
      <c r="AD7" s="3">
        <f t="shared" ca="1" si="1"/>
        <v>2.2253487843487021E-3</v>
      </c>
      <c r="AE7" s="3">
        <f t="shared" ca="1" si="1"/>
        <v>2.5214675816386716E-3</v>
      </c>
      <c r="AF7" s="3">
        <f t="shared" ca="1" si="1"/>
        <v>1.6834954874324704E-3</v>
      </c>
      <c r="AG7" s="3">
        <f t="shared" ca="1" si="1"/>
        <v>1.6339043934472804E-3</v>
      </c>
      <c r="AH7" s="3">
        <f t="shared" ca="1" si="1"/>
        <v>1.3496995154096297E-3</v>
      </c>
      <c r="AI7" s="3">
        <f t="shared" ca="1" si="1"/>
        <v>1.1928990122266271E-3</v>
      </c>
      <c r="AJ7" s="3">
        <f t="shared" ca="1" si="1"/>
        <v>1.4671729802083109E-3</v>
      </c>
      <c r="AK7" s="3">
        <f t="shared" ca="1" si="1"/>
        <v>2.022018953379728E-3</v>
      </c>
      <c r="AM7" s="3">
        <f t="shared" ca="1" si="4"/>
        <v>1.6283551405118651E-2</v>
      </c>
    </row>
    <row r="8" spans="1:39" x14ac:dyDescent="0.25">
      <c r="A8" s="3" t="s">
        <v>2</v>
      </c>
      <c r="B8" s="3">
        <v>24</v>
      </c>
      <c r="C8" s="3">
        <v>1</v>
      </c>
      <c r="D8" s="3">
        <v>56018.447</v>
      </c>
      <c r="E8" s="3">
        <v>1.236</v>
      </c>
      <c r="F8" s="3">
        <v>249</v>
      </c>
      <c r="H8" s="3" t="s">
        <v>0</v>
      </c>
      <c r="I8" s="3">
        <v>25</v>
      </c>
      <c r="J8" s="3">
        <v>1</v>
      </c>
      <c r="L8" s="3">
        <f t="shared" ca="1" si="2"/>
        <v>723.12199999999996</v>
      </c>
      <c r="M8" s="3">
        <f t="shared" ca="1" si="0"/>
        <v>724.048</v>
      </c>
      <c r="N8" s="3">
        <f t="shared" ca="1" si="0"/>
        <v>724.19200000000001</v>
      </c>
      <c r="O8" s="3">
        <f t="shared" ca="1" si="0"/>
        <v>724.08399999999995</v>
      </c>
      <c r="P8" s="3">
        <f t="shared" ca="1" si="0"/>
        <v>723.12199999999996</v>
      </c>
      <c r="Q8" s="3">
        <f t="shared" ca="1" si="0"/>
        <v>723.51</v>
      </c>
      <c r="R8" s="3">
        <f t="shared" ca="1" si="0"/>
        <v>723.05200000000002</v>
      </c>
      <c r="S8" s="3">
        <f t="shared" ca="1" si="0"/>
        <v>723.54399999999998</v>
      </c>
      <c r="T8" s="3">
        <f t="shared" ca="1" si="0"/>
        <v>723.74300000000005</v>
      </c>
      <c r="U8" s="3">
        <f t="shared" ca="1" si="0"/>
        <v>723.61300000000006</v>
      </c>
      <c r="W8" s="3">
        <f t="shared" ca="1" si="3"/>
        <v>723.60299999999995</v>
      </c>
      <c r="Y8" s="3">
        <f ca="1">Total!E8</f>
        <v>722.92</v>
      </c>
      <c r="AB8" s="3">
        <f t="shared" ca="1" si="1"/>
        <v>2.7942234272118383E-4</v>
      </c>
      <c r="AC8" s="3">
        <f t="shared" ca="1" si="1"/>
        <v>1.5603386266807432E-3</v>
      </c>
      <c r="AD8" s="3">
        <f t="shared" ca="1" si="1"/>
        <v>1.7595307917889231E-3</v>
      </c>
      <c r="AE8" s="3">
        <f t="shared" ca="1" si="1"/>
        <v>1.6101366679577094E-3</v>
      </c>
      <c r="AF8" s="3">
        <f t="shared" ca="1" si="1"/>
        <v>2.7942234272118383E-4</v>
      </c>
      <c r="AG8" s="3">
        <f t="shared" ca="1" si="1"/>
        <v>8.1613456537380608E-4</v>
      </c>
      <c r="AH8" s="3">
        <f t="shared" ca="1" si="1"/>
        <v>1.8259281801591027E-4</v>
      </c>
      <c r="AI8" s="3">
        <f t="shared" ca="1" si="1"/>
        <v>8.6316604880211324E-4</v>
      </c>
      <c r="AJ8" s="3">
        <f t="shared" ca="1" si="1"/>
        <v>1.1384385547503083E-3</v>
      </c>
      <c r="AK8" s="3">
        <f t="shared" ca="1" si="1"/>
        <v>9.5861229458321445E-4</v>
      </c>
      <c r="AM8" s="3">
        <f t="shared" ca="1" si="4"/>
        <v>9.4477950533950958E-3</v>
      </c>
    </row>
    <row r="9" spans="1:39" x14ac:dyDescent="0.25">
      <c r="A9" s="3" t="s">
        <v>2</v>
      </c>
      <c r="B9" s="3">
        <v>24</v>
      </c>
      <c r="C9" s="3">
        <v>1</v>
      </c>
      <c r="D9" s="3">
        <v>56039.53</v>
      </c>
      <c r="E9" s="3">
        <v>1.2350000000000001</v>
      </c>
      <c r="F9" s="3">
        <v>257</v>
      </c>
      <c r="H9" s="3" t="s">
        <v>0</v>
      </c>
      <c r="I9" s="3">
        <v>50</v>
      </c>
      <c r="J9" s="3">
        <v>1</v>
      </c>
      <c r="L9" s="3">
        <f t="shared" ca="1" si="2"/>
        <v>1571.6369999999999</v>
      </c>
      <c r="M9" s="3">
        <f t="shared" ca="1" si="0"/>
        <v>1571.252</v>
      </c>
      <c r="N9" s="3">
        <f t="shared" ca="1" si="0"/>
        <v>1572.557</v>
      </c>
      <c r="O9" s="3">
        <f t="shared" ca="1" si="0"/>
        <v>1571.461</v>
      </c>
      <c r="P9" s="3">
        <f t="shared" ca="1" si="0"/>
        <v>1572.403</v>
      </c>
      <c r="Q9" s="3">
        <f t="shared" ca="1" si="0"/>
        <v>1570.9929999999999</v>
      </c>
      <c r="R9" s="3">
        <f t="shared" ca="1" si="0"/>
        <v>1571.3330000000001</v>
      </c>
      <c r="S9" s="3">
        <f t="shared" ca="1" si="0"/>
        <v>1571.07</v>
      </c>
      <c r="T9" s="3">
        <f t="shared" ca="1" si="0"/>
        <v>1572.172</v>
      </c>
      <c r="U9" s="3">
        <f t="shared" ca="1" si="0"/>
        <v>1571.5309999999999</v>
      </c>
      <c r="W9" s="3">
        <f t="shared" ca="1" si="3"/>
        <v>1571.6408999999999</v>
      </c>
      <c r="Y9" s="3">
        <f ca="1">Total!E9</f>
        <v>1570.17</v>
      </c>
      <c r="AB9" s="3">
        <f t="shared" ca="1" si="1"/>
        <v>9.3429373889443229E-4</v>
      </c>
      <c r="AC9" s="3">
        <f t="shared" ca="1" si="1"/>
        <v>6.890973588846303E-4</v>
      </c>
      <c r="AD9" s="3">
        <f t="shared" ca="1" si="1"/>
        <v>1.5202175560607727E-3</v>
      </c>
      <c r="AE9" s="3">
        <f t="shared" ca="1" si="1"/>
        <v>8.2220396517570702E-4</v>
      </c>
      <c r="AF9" s="3">
        <f t="shared" ca="1" si="1"/>
        <v>1.4221390040568519E-3</v>
      </c>
      <c r="AG9" s="3">
        <f t="shared" ca="1" si="1"/>
        <v>5.2414706687802296E-4</v>
      </c>
      <c r="AH9" s="3">
        <f t="shared" ca="1" si="1"/>
        <v>7.4068412974391995E-4</v>
      </c>
      <c r="AI9" s="3">
        <f t="shared" ca="1" si="1"/>
        <v>5.7318634287998335E-4</v>
      </c>
      <c r="AJ9" s="3">
        <f t="shared" ca="1" si="1"/>
        <v>1.2750211760509708E-3</v>
      </c>
      <c r="AK9" s="3">
        <f t="shared" ca="1" si="1"/>
        <v>8.6678512517744969E-4</v>
      </c>
      <c r="AM9" s="3">
        <f t="shared" ca="1" si="4"/>
        <v>9.3677754638027411E-3</v>
      </c>
    </row>
    <row r="10" spans="1:39" x14ac:dyDescent="0.25">
      <c r="A10" s="3" t="s">
        <v>2</v>
      </c>
      <c r="B10" s="3">
        <v>24</v>
      </c>
      <c r="C10" s="3">
        <v>1</v>
      </c>
      <c r="D10" s="3">
        <v>56026.059000000001</v>
      </c>
      <c r="E10" s="3">
        <v>1.2350000000000001</v>
      </c>
      <c r="F10" s="3">
        <v>242</v>
      </c>
      <c r="H10" s="3" t="s">
        <v>28</v>
      </c>
      <c r="I10" s="3">
        <v>100</v>
      </c>
      <c r="J10" s="3">
        <v>1</v>
      </c>
      <c r="L10" s="3">
        <f t="shared" ca="1" si="2"/>
        <v>3327.44</v>
      </c>
      <c r="M10" s="3">
        <f t="shared" ca="1" si="0"/>
        <v>3338.7179999999998</v>
      </c>
      <c r="N10" s="3">
        <f t="shared" ca="1" si="0"/>
        <v>3291.77</v>
      </c>
      <c r="O10" s="3">
        <f t="shared" ca="1" si="0"/>
        <v>3292.8649999999998</v>
      </c>
      <c r="P10" s="3">
        <f t="shared" ca="1" si="0"/>
        <v>3291.3629999999998</v>
      </c>
      <c r="Q10" s="3">
        <f t="shared" ca="1" si="0"/>
        <v>3326.1550000000002</v>
      </c>
      <c r="R10" s="3">
        <f t="shared" ca="1" si="0"/>
        <v>3314.4140000000002</v>
      </c>
      <c r="S10" s="3">
        <f t="shared" ca="1" si="0"/>
        <v>3326.0140000000001</v>
      </c>
      <c r="T10" s="3">
        <f t="shared" ca="1" si="0"/>
        <v>3330.0569999999998</v>
      </c>
      <c r="U10" s="3">
        <f t="shared" ca="1" si="0"/>
        <v>3310.7370000000001</v>
      </c>
      <c r="W10" s="3">
        <f t="shared" ca="1" si="3"/>
        <v>3314.9532999999997</v>
      </c>
      <c r="Y10" s="3">
        <f ca="1">Total!E10</f>
        <v>3290.5340000000001</v>
      </c>
      <c r="AB10" s="3">
        <f t="shared" ca="1" si="1"/>
        <v>1.1215808741073622E-2</v>
      </c>
      <c r="AC10" s="3">
        <f t="shared" ca="1" si="1"/>
        <v>1.4643215964338839E-2</v>
      </c>
      <c r="AD10" s="3">
        <f t="shared" ca="1" si="1"/>
        <v>3.7562292320938675E-4</v>
      </c>
      <c r="AE10" s="3">
        <f t="shared" ca="1" si="1"/>
        <v>7.0839565857689854E-4</v>
      </c>
      <c r="AF10" s="3">
        <f t="shared" ca="1" si="1"/>
        <v>2.5193479234669009E-4</v>
      </c>
      <c r="AG10" s="3">
        <f t="shared" ca="1" si="1"/>
        <v>1.0825294617834094E-2</v>
      </c>
      <c r="AH10" s="3">
        <f t="shared" ca="1" si="1"/>
        <v>7.2571807493859988E-3</v>
      </c>
      <c r="AI10" s="3">
        <f t="shared" ca="1" si="1"/>
        <v>1.0782444429992219E-2</v>
      </c>
      <c r="AJ10" s="3">
        <f t="shared" ca="1" si="1"/>
        <v>1.2011120383499968E-2</v>
      </c>
      <c r="AK10" s="3">
        <f t="shared" ca="1" si="1"/>
        <v>6.1397329430420639E-3</v>
      </c>
      <c r="AM10" s="3">
        <f t="shared" ca="1" si="4"/>
        <v>7.4210751203299785E-2</v>
      </c>
    </row>
    <row r="11" spans="1:39" x14ac:dyDescent="0.25">
      <c r="A11" s="3" t="s">
        <v>2</v>
      </c>
      <c r="B11" s="3">
        <v>47</v>
      </c>
      <c r="C11" s="3">
        <v>1</v>
      </c>
      <c r="D11" s="3">
        <v>126278.97900000001</v>
      </c>
      <c r="E11" s="3">
        <v>4.1479999999999997</v>
      </c>
      <c r="F11" s="3">
        <v>247</v>
      </c>
    </row>
    <row r="12" spans="1:39" x14ac:dyDescent="0.25">
      <c r="A12" s="3" t="s">
        <v>2</v>
      </c>
      <c r="B12" s="3">
        <v>47</v>
      </c>
      <c r="C12" s="3">
        <v>1</v>
      </c>
      <c r="D12" s="3">
        <v>126260.88</v>
      </c>
      <c r="E12" s="3">
        <v>4.1500000000000004</v>
      </c>
      <c r="F12" s="3">
        <v>268</v>
      </c>
    </row>
    <row r="13" spans="1:39" x14ac:dyDescent="0.25">
      <c r="A13" s="3" t="s">
        <v>2</v>
      </c>
      <c r="B13" s="3">
        <v>47</v>
      </c>
      <c r="C13" s="3">
        <v>1</v>
      </c>
      <c r="D13" s="3">
        <v>126400.228</v>
      </c>
      <c r="E13" s="3">
        <v>4.141</v>
      </c>
      <c r="F13" s="3">
        <v>261</v>
      </c>
    </row>
    <row r="14" spans="1:39" x14ac:dyDescent="0.25">
      <c r="A14" s="3" t="s">
        <v>2</v>
      </c>
      <c r="B14" s="3">
        <v>47</v>
      </c>
      <c r="C14" s="3">
        <v>1</v>
      </c>
      <c r="D14" s="3">
        <v>126494.93</v>
      </c>
      <c r="E14" s="3">
        <v>4.1399999999999997</v>
      </c>
      <c r="F14" s="3">
        <v>261</v>
      </c>
    </row>
    <row r="15" spans="1:39" x14ac:dyDescent="0.25">
      <c r="A15" s="3" t="s">
        <v>2</v>
      </c>
      <c r="B15" s="3">
        <v>47</v>
      </c>
      <c r="C15" s="3">
        <v>1</v>
      </c>
      <c r="D15" s="3">
        <v>126305.857</v>
      </c>
      <c r="E15" s="3">
        <v>4.141</v>
      </c>
      <c r="F15" s="3">
        <v>266</v>
      </c>
    </row>
    <row r="16" spans="1:39" x14ac:dyDescent="0.25">
      <c r="A16" s="3" t="s">
        <v>2</v>
      </c>
      <c r="B16" s="3">
        <v>47</v>
      </c>
      <c r="C16" s="3">
        <v>1</v>
      </c>
      <c r="D16" s="3">
        <v>126282.242</v>
      </c>
      <c r="E16" s="3">
        <v>4.149</v>
      </c>
      <c r="F16" s="3">
        <v>265</v>
      </c>
    </row>
    <row r="17" spans="1:6" x14ac:dyDescent="0.25">
      <c r="A17" s="3" t="s">
        <v>2</v>
      </c>
      <c r="B17" s="3">
        <v>47</v>
      </c>
      <c r="C17" s="3">
        <v>1</v>
      </c>
      <c r="D17" s="3">
        <v>126249.84699999999</v>
      </c>
      <c r="E17" s="3">
        <v>4.1459999999999999</v>
      </c>
      <c r="F17" s="3">
        <v>269</v>
      </c>
    </row>
    <row r="18" spans="1:6" x14ac:dyDescent="0.25">
      <c r="A18" s="3" t="s">
        <v>2</v>
      </c>
      <c r="B18" s="3">
        <v>47</v>
      </c>
      <c r="C18" s="3">
        <v>1</v>
      </c>
      <c r="D18" s="3">
        <v>126269.88</v>
      </c>
      <c r="E18" s="3">
        <v>4.149</v>
      </c>
      <c r="F18" s="3">
        <v>260</v>
      </c>
    </row>
    <row r="19" spans="1:6" x14ac:dyDescent="0.25">
      <c r="A19" s="3" t="s">
        <v>2</v>
      </c>
      <c r="B19" s="3">
        <v>47</v>
      </c>
      <c r="C19" s="3">
        <v>1</v>
      </c>
      <c r="D19" s="3">
        <v>126362.538</v>
      </c>
      <c r="E19" s="3">
        <v>4.1500000000000004</v>
      </c>
      <c r="F19" s="3">
        <v>255</v>
      </c>
    </row>
    <row r="20" spans="1:6" x14ac:dyDescent="0.25">
      <c r="A20" s="3" t="s">
        <v>2</v>
      </c>
      <c r="B20" s="3">
        <v>47</v>
      </c>
      <c r="C20" s="3">
        <v>1</v>
      </c>
      <c r="D20" s="3">
        <v>126266.29700000001</v>
      </c>
      <c r="E20" s="3">
        <v>4.1429999999999998</v>
      </c>
      <c r="F20" s="3">
        <v>251</v>
      </c>
    </row>
    <row r="21" spans="1:6" x14ac:dyDescent="0.25">
      <c r="A21" s="3" t="s">
        <v>2</v>
      </c>
      <c r="B21" s="3">
        <v>100</v>
      </c>
      <c r="C21" s="3">
        <v>1</v>
      </c>
      <c r="D21" s="3">
        <v>1216592.0560000001</v>
      </c>
      <c r="E21" s="3">
        <v>22.074000000000002</v>
      </c>
      <c r="F21" s="3">
        <v>276</v>
      </c>
    </row>
    <row r="22" spans="1:6" x14ac:dyDescent="0.25">
      <c r="A22" s="3" t="s">
        <v>2</v>
      </c>
      <c r="B22" s="3">
        <v>100</v>
      </c>
      <c r="C22" s="3">
        <v>1</v>
      </c>
      <c r="D22" s="3">
        <v>1217166.166</v>
      </c>
      <c r="E22" s="3">
        <v>22.085000000000001</v>
      </c>
      <c r="F22" s="3">
        <v>286</v>
      </c>
    </row>
    <row r="23" spans="1:6" x14ac:dyDescent="0.25">
      <c r="A23" s="3" t="s">
        <v>2</v>
      </c>
      <c r="B23" s="3">
        <v>100</v>
      </c>
      <c r="C23" s="3">
        <v>1</v>
      </c>
      <c r="D23" s="3">
        <v>1216990.6000000001</v>
      </c>
      <c r="E23" s="3">
        <v>22.097000000000001</v>
      </c>
      <c r="F23" s="3">
        <v>270</v>
      </c>
    </row>
    <row r="24" spans="1:6" x14ac:dyDescent="0.25">
      <c r="A24" s="3" t="s">
        <v>2</v>
      </c>
      <c r="B24" s="3">
        <v>100</v>
      </c>
      <c r="C24" s="3">
        <v>1</v>
      </c>
      <c r="D24" s="3">
        <v>1217381.014</v>
      </c>
      <c r="E24" s="3">
        <v>22.058</v>
      </c>
      <c r="F24" s="3">
        <v>275</v>
      </c>
    </row>
    <row r="25" spans="1:6" x14ac:dyDescent="0.25">
      <c r="A25" s="3" t="s">
        <v>2</v>
      </c>
      <c r="B25" s="3">
        <v>100</v>
      </c>
      <c r="C25" s="3">
        <v>1</v>
      </c>
      <c r="D25" s="3">
        <v>1217156.338</v>
      </c>
      <c r="E25" s="3">
        <v>22.120999999999999</v>
      </c>
      <c r="F25" s="3">
        <v>239</v>
      </c>
    </row>
    <row r="26" spans="1:6" x14ac:dyDescent="0.25">
      <c r="A26" s="3" t="s">
        <v>2</v>
      </c>
      <c r="B26" s="3">
        <v>100</v>
      </c>
      <c r="C26" s="3">
        <v>1</v>
      </c>
      <c r="D26" s="3">
        <v>1217351.138</v>
      </c>
      <c r="E26" s="3">
        <v>22.169</v>
      </c>
      <c r="F26" s="3">
        <v>219</v>
      </c>
    </row>
    <row r="27" spans="1:6" x14ac:dyDescent="0.25">
      <c r="A27" s="3" t="s">
        <v>2</v>
      </c>
      <c r="B27" s="3">
        <v>100</v>
      </c>
      <c r="C27" s="3">
        <v>1</v>
      </c>
      <c r="D27" s="3">
        <v>1216968.1710000001</v>
      </c>
      <c r="E27" s="3">
        <v>22.097999999999999</v>
      </c>
      <c r="F27" s="3">
        <v>275</v>
      </c>
    </row>
    <row r="28" spans="1:6" x14ac:dyDescent="0.25">
      <c r="A28" s="3" t="s">
        <v>2</v>
      </c>
      <c r="B28" s="3">
        <v>100</v>
      </c>
      <c r="C28" s="3">
        <v>1</v>
      </c>
      <c r="D28" s="3">
        <v>1217209.7720000001</v>
      </c>
      <c r="E28" s="3">
        <v>22.1</v>
      </c>
      <c r="F28" s="3">
        <v>281</v>
      </c>
    </row>
    <row r="29" spans="1:6" x14ac:dyDescent="0.25">
      <c r="A29" s="3" t="s">
        <v>2</v>
      </c>
      <c r="B29" s="3">
        <v>100</v>
      </c>
      <c r="C29" s="3">
        <v>1</v>
      </c>
      <c r="D29" s="3">
        <v>1216589.4410000001</v>
      </c>
      <c r="E29" s="3">
        <v>22.074000000000002</v>
      </c>
      <c r="F29" s="3">
        <v>282</v>
      </c>
    </row>
    <row r="30" spans="1:6" x14ac:dyDescent="0.25">
      <c r="A30" s="3" t="s">
        <v>2</v>
      </c>
      <c r="B30" s="3">
        <v>100</v>
      </c>
      <c r="C30" s="3">
        <v>1</v>
      </c>
      <c r="D30" s="3">
        <v>1217154.5870000001</v>
      </c>
      <c r="E30" s="3">
        <v>22.106999999999999</v>
      </c>
      <c r="F30" s="3">
        <v>273</v>
      </c>
    </row>
    <row r="31" spans="1:6" x14ac:dyDescent="0.25">
      <c r="A31" s="3" t="s">
        <v>1</v>
      </c>
      <c r="B31" s="3">
        <v>30</v>
      </c>
      <c r="C31" s="3">
        <v>1</v>
      </c>
      <c r="D31" s="3">
        <v>20040.969000000001</v>
      </c>
      <c r="E31" s="3">
        <v>1.3480000000000001</v>
      </c>
      <c r="F31" s="3">
        <v>169</v>
      </c>
    </row>
    <row r="32" spans="1:6" x14ac:dyDescent="0.25">
      <c r="A32" s="3" t="s">
        <v>1</v>
      </c>
      <c r="B32" s="3">
        <v>30</v>
      </c>
      <c r="C32" s="3">
        <v>1</v>
      </c>
      <c r="D32" s="3">
        <v>20009.011999999999</v>
      </c>
      <c r="E32" s="3">
        <v>1.3460000000000001</v>
      </c>
      <c r="F32" s="3">
        <v>169</v>
      </c>
    </row>
    <row r="33" spans="1:6" x14ac:dyDescent="0.25">
      <c r="A33" s="3" t="s">
        <v>1</v>
      </c>
      <c r="B33" s="3">
        <v>30</v>
      </c>
      <c r="C33" s="3">
        <v>1</v>
      </c>
      <c r="D33" s="3">
        <v>20016.498</v>
      </c>
      <c r="E33" s="3">
        <v>1.3460000000000001</v>
      </c>
      <c r="F33" s="3">
        <v>171</v>
      </c>
    </row>
    <row r="34" spans="1:6" x14ac:dyDescent="0.25">
      <c r="A34" s="3" t="s">
        <v>1</v>
      </c>
      <c r="B34" s="3">
        <v>30</v>
      </c>
      <c r="C34" s="3">
        <v>1</v>
      </c>
      <c r="D34" s="3">
        <v>20026.272000000001</v>
      </c>
      <c r="E34" s="3">
        <v>1.3480000000000001</v>
      </c>
      <c r="F34" s="3">
        <v>178</v>
      </c>
    </row>
    <row r="35" spans="1:6" x14ac:dyDescent="0.25">
      <c r="A35" s="3" t="s">
        <v>1</v>
      </c>
      <c r="B35" s="3">
        <v>30</v>
      </c>
      <c r="C35" s="3">
        <v>1</v>
      </c>
      <c r="D35" s="3">
        <v>19996.363000000001</v>
      </c>
      <c r="E35" s="3">
        <v>1.35</v>
      </c>
      <c r="F35" s="3">
        <v>167</v>
      </c>
    </row>
    <row r="36" spans="1:6" x14ac:dyDescent="0.25">
      <c r="A36" s="3" t="s">
        <v>1</v>
      </c>
      <c r="B36" s="3">
        <v>30</v>
      </c>
      <c r="C36" s="3">
        <v>1</v>
      </c>
      <c r="D36" s="3">
        <v>20002.875</v>
      </c>
      <c r="E36" s="3">
        <v>1.349</v>
      </c>
      <c r="F36" s="3">
        <v>168</v>
      </c>
    </row>
    <row r="37" spans="1:6" x14ac:dyDescent="0.25">
      <c r="A37" s="3" t="s">
        <v>1</v>
      </c>
      <c r="B37" s="3">
        <v>30</v>
      </c>
      <c r="C37" s="3">
        <v>1</v>
      </c>
      <c r="D37" s="3">
        <v>19997.223000000002</v>
      </c>
      <c r="E37" s="3">
        <v>1.35</v>
      </c>
      <c r="F37" s="3">
        <v>182</v>
      </c>
    </row>
    <row r="38" spans="1:6" x14ac:dyDescent="0.25">
      <c r="A38" s="3" t="s">
        <v>1</v>
      </c>
      <c r="B38" s="3">
        <v>30</v>
      </c>
      <c r="C38" s="3">
        <v>1</v>
      </c>
      <c r="D38" s="3">
        <v>19997.726999999999</v>
      </c>
      <c r="E38" s="3">
        <v>1.35</v>
      </c>
      <c r="F38" s="3">
        <v>178</v>
      </c>
    </row>
    <row r="39" spans="1:6" x14ac:dyDescent="0.25">
      <c r="A39" s="3" t="s">
        <v>1</v>
      </c>
      <c r="B39" s="3">
        <v>30</v>
      </c>
      <c r="C39" s="3">
        <v>1</v>
      </c>
      <c r="D39" s="3">
        <v>20031.294999999998</v>
      </c>
      <c r="E39" s="3">
        <v>1.349</v>
      </c>
      <c r="F39" s="3">
        <v>161</v>
      </c>
    </row>
    <row r="40" spans="1:6" x14ac:dyDescent="0.25">
      <c r="A40" s="3" t="s">
        <v>1</v>
      </c>
      <c r="B40" s="3">
        <v>30</v>
      </c>
      <c r="C40" s="3">
        <v>1</v>
      </c>
      <c r="D40" s="3">
        <v>20024.225999999999</v>
      </c>
      <c r="E40" s="3">
        <v>1.349</v>
      </c>
      <c r="F40" s="3">
        <v>185</v>
      </c>
    </row>
    <row r="41" spans="1:6" x14ac:dyDescent="0.25">
      <c r="A41" s="3" t="s">
        <v>1</v>
      </c>
      <c r="B41" s="3">
        <v>50</v>
      </c>
      <c r="C41" s="3">
        <v>1</v>
      </c>
      <c r="D41" s="3">
        <v>35302.271999999997</v>
      </c>
      <c r="E41" s="3">
        <v>3.044</v>
      </c>
      <c r="F41" s="3">
        <v>145</v>
      </c>
    </row>
    <row r="42" spans="1:6" x14ac:dyDescent="0.25">
      <c r="A42" s="3" t="s">
        <v>1</v>
      </c>
      <c r="B42" s="3">
        <v>50</v>
      </c>
      <c r="C42" s="3">
        <v>1</v>
      </c>
      <c r="D42" s="3">
        <v>35315.091999999997</v>
      </c>
      <c r="E42" s="3">
        <v>3.0419999999999998</v>
      </c>
      <c r="F42" s="3">
        <v>139</v>
      </c>
    </row>
    <row r="43" spans="1:6" x14ac:dyDescent="0.25">
      <c r="A43" s="3" t="s">
        <v>1</v>
      </c>
      <c r="B43" s="3">
        <v>50</v>
      </c>
      <c r="C43" s="3">
        <v>1</v>
      </c>
      <c r="D43" s="3">
        <v>35400.591999999997</v>
      </c>
      <c r="E43" s="3">
        <v>3.04</v>
      </c>
      <c r="F43" s="3">
        <v>159</v>
      </c>
    </row>
    <row r="44" spans="1:6" x14ac:dyDescent="0.25">
      <c r="A44" s="3" t="s">
        <v>1</v>
      </c>
      <c r="B44" s="3">
        <v>50</v>
      </c>
      <c r="C44" s="3">
        <v>1</v>
      </c>
      <c r="D44" s="3">
        <v>35352.512999999999</v>
      </c>
      <c r="E44" s="3">
        <v>3.0430000000000001</v>
      </c>
      <c r="F44" s="3">
        <v>148</v>
      </c>
    </row>
    <row r="45" spans="1:6" x14ac:dyDescent="0.25">
      <c r="A45" s="3" t="s">
        <v>1</v>
      </c>
      <c r="B45" s="3">
        <v>50</v>
      </c>
      <c r="C45" s="3">
        <v>1</v>
      </c>
      <c r="D45" s="3">
        <v>35313.250999999997</v>
      </c>
      <c r="E45" s="3">
        <v>3.04</v>
      </c>
      <c r="F45" s="3">
        <v>158</v>
      </c>
    </row>
    <row r="46" spans="1:6" x14ac:dyDescent="0.25">
      <c r="A46" s="3" t="s">
        <v>1</v>
      </c>
      <c r="B46" s="3">
        <v>50</v>
      </c>
      <c r="C46" s="3">
        <v>1</v>
      </c>
      <c r="D46" s="3">
        <v>35306.684999999998</v>
      </c>
      <c r="E46" s="3">
        <v>3.0339999999999998</v>
      </c>
      <c r="F46" s="3">
        <v>144</v>
      </c>
    </row>
    <row r="47" spans="1:6" x14ac:dyDescent="0.25">
      <c r="A47" s="3" t="s">
        <v>1</v>
      </c>
      <c r="B47" s="3">
        <v>50</v>
      </c>
      <c r="C47" s="3">
        <v>1</v>
      </c>
      <c r="D47" s="3">
        <v>35382.175000000003</v>
      </c>
      <c r="E47" s="3">
        <v>3.048</v>
      </c>
      <c r="F47" s="3">
        <v>155</v>
      </c>
    </row>
    <row r="48" spans="1:6" x14ac:dyDescent="0.25">
      <c r="A48" s="3" t="s">
        <v>1</v>
      </c>
      <c r="B48" s="3">
        <v>50</v>
      </c>
      <c r="C48" s="3">
        <v>1</v>
      </c>
      <c r="D48" s="3">
        <v>35377.341999999997</v>
      </c>
      <c r="E48" s="3">
        <v>3.0339999999999998</v>
      </c>
      <c r="F48" s="3">
        <v>154</v>
      </c>
    </row>
    <row r="49" spans="1:6" x14ac:dyDescent="0.25">
      <c r="A49" s="3" t="s">
        <v>1</v>
      </c>
      <c r="B49" s="3">
        <v>50</v>
      </c>
      <c r="C49" s="3">
        <v>1</v>
      </c>
      <c r="D49" s="3">
        <v>35434.212</v>
      </c>
      <c r="E49" s="3">
        <v>3.036</v>
      </c>
      <c r="F49" s="3">
        <v>152</v>
      </c>
    </row>
    <row r="50" spans="1:6" x14ac:dyDescent="0.25">
      <c r="A50" s="3" t="s">
        <v>1</v>
      </c>
      <c r="B50" s="3">
        <v>50</v>
      </c>
      <c r="C50" s="3">
        <v>1</v>
      </c>
      <c r="D50" s="3">
        <v>35316.79</v>
      </c>
      <c r="E50" s="3">
        <v>3.036</v>
      </c>
      <c r="F50" s="3">
        <v>157</v>
      </c>
    </row>
    <row r="51" spans="1:6" x14ac:dyDescent="0.25">
      <c r="A51" s="3" t="s">
        <v>1</v>
      </c>
      <c r="B51" s="3">
        <v>100</v>
      </c>
      <c r="C51" s="3">
        <v>1</v>
      </c>
      <c r="D51" s="3">
        <v>63060.703999999998</v>
      </c>
      <c r="E51" s="3">
        <v>11.708</v>
      </c>
      <c r="F51" s="3">
        <v>149</v>
      </c>
    </row>
    <row r="52" spans="1:6" x14ac:dyDescent="0.25">
      <c r="A52" s="3" t="s">
        <v>1</v>
      </c>
      <c r="B52" s="3">
        <v>100</v>
      </c>
      <c r="C52" s="3">
        <v>1</v>
      </c>
      <c r="D52" s="3">
        <v>63148.213000000003</v>
      </c>
      <c r="E52" s="3">
        <v>11.712</v>
      </c>
      <c r="F52" s="3">
        <v>149</v>
      </c>
    </row>
    <row r="53" spans="1:6" x14ac:dyDescent="0.25">
      <c r="A53" s="3" t="s">
        <v>1</v>
      </c>
      <c r="B53" s="3">
        <v>100</v>
      </c>
      <c r="C53" s="3">
        <v>1</v>
      </c>
      <c r="D53" s="3">
        <v>63175.788</v>
      </c>
      <c r="E53" s="3">
        <v>11.705</v>
      </c>
      <c r="F53" s="3">
        <v>147</v>
      </c>
    </row>
    <row r="54" spans="1:6" x14ac:dyDescent="0.25">
      <c r="A54" s="3" t="s">
        <v>1</v>
      </c>
      <c r="B54" s="3">
        <v>100</v>
      </c>
      <c r="C54" s="3">
        <v>1</v>
      </c>
      <c r="D54" s="3">
        <v>63194.453999999998</v>
      </c>
      <c r="E54" s="3">
        <v>11.708</v>
      </c>
      <c r="F54" s="3">
        <v>147</v>
      </c>
    </row>
    <row r="55" spans="1:6" x14ac:dyDescent="0.25">
      <c r="A55" s="3" t="s">
        <v>1</v>
      </c>
      <c r="B55" s="3">
        <v>100</v>
      </c>
      <c r="C55" s="3">
        <v>1</v>
      </c>
      <c r="D55" s="3">
        <v>63141.631999999998</v>
      </c>
      <c r="E55" s="3">
        <v>11.699</v>
      </c>
      <c r="F55" s="3">
        <v>149</v>
      </c>
    </row>
    <row r="56" spans="1:6" x14ac:dyDescent="0.25">
      <c r="A56" s="3" t="s">
        <v>1</v>
      </c>
      <c r="B56" s="3">
        <v>100</v>
      </c>
      <c r="C56" s="3">
        <v>1</v>
      </c>
      <c r="D56" s="3">
        <v>63138.506000000001</v>
      </c>
      <c r="E56" s="3">
        <v>11.677</v>
      </c>
      <c r="F56" s="3">
        <v>149</v>
      </c>
    </row>
    <row r="57" spans="1:6" x14ac:dyDescent="0.25">
      <c r="A57" s="3" t="s">
        <v>1</v>
      </c>
      <c r="B57" s="3">
        <v>100</v>
      </c>
      <c r="C57" s="3">
        <v>1</v>
      </c>
      <c r="D57" s="3">
        <v>63120.591</v>
      </c>
      <c r="E57" s="3">
        <v>11.680999999999999</v>
      </c>
      <c r="F57" s="3">
        <v>145</v>
      </c>
    </row>
    <row r="58" spans="1:6" x14ac:dyDescent="0.25">
      <c r="A58" s="3" t="s">
        <v>1</v>
      </c>
      <c r="B58" s="3">
        <v>100</v>
      </c>
      <c r="C58" s="3">
        <v>1</v>
      </c>
      <c r="D58" s="3">
        <v>63110.707000000002</v>
      </c>
      <c r="E58" s="3">
        <v>11.699</v>
      </c>
      <c r="F58" s="3">
        <v>153</v>
      </c>
    </row>
    <row r="59" spans="1:6" x14ac:dyDescent="0.25">
      <c r="A59" s="3" t="s">
        <v>1</v>
      </c>
      <c r="B59" s="3">
        <v>100</v>
      </c>
      <c r="C59" s="3">
        <v>1</v>
      </c>
      <c r="D59" s="3">
        <v>63127.995999999999</v>
      </c>
      <c r="E59" s="3">
        <v>11.731</v>
      </c>
      <c r="F59" s="3">
        <v>150</v>
      </c>
    </row>
    <row r="60" spans="1:6" x14ac:dyDescent="0.25">
      <c r="A60" s="3" t="s">
        <v>1</v>
      </c>
      <c r="B60" s="3">
        <v>100</v>
      </c>
      <c r="C60" s="3">
        <v>1</v>
      </c>
      <c r="D60" s="3">
        <v>63162.970999999998</v>
      </c>
      <c r="E60" s="3">
        <v>11.702999999999999</v>
      </c>
      <c r="F60" s="3">
        <v>150</v>
      </c>
    </row>
    <row r="61" spans="1:6" x14ac:dyDescent="0.25">
      <c r="A61" s="3" t="s">
        <v>0</v>
      </c>
      <c r="B61" s="3">
        <v>25</v>
      </c>
      <c r="C61" s="3">
        <v>1</v>
      </c>
      <c r="D61" s="3">
        <v>723.12199999999996</v>
      </c>
      <c r="E61" s="3">
        <v>0.995</v>
      </c>
      <c r="F61" s="3">
        <v>138</v>
      </c>
    </row>
    <row r="62" spans="1:6" x14ac:dyDescent="0.25">
      <c r="A62" s="3" t="s">
        <v>0</v>
      </c>
      <c r="B62" s="3">
        <v>25</v>
      </c>
      <c r="C62" s="3">
        <v>1</v>
      </c>
      <c r="D62" s="3">
        <v>724.048</v>
      </c>
      <c r="E62" s="3">
        <v>0.90500000000000003</v>
      </c>
      <c r="F62" s="3">
        <v>175</v>
      </c>
    </row>
    <row r="63" spans="1:6" x14ac:dyDescent="0.25">
      <c r="A63" s="3" t="s">
        <v>0</v>
      </c>
      <c r="B63" s="3">
        <v>25</v>
      </c>
      <c r="C63" s="3">
        <v>1</v>
      </c>
      <c r="D63" s="3">
        <v>724.19200000000001</v>
      </c>
      <c r="E63" s="3">
        <v>0.90300000000000002</v>
      </c>
      <c r="F63" s="3">
        <v>169</v>
      </c>
    </row>
    <row r="64" spans="1:6" x14ac:dyDescent="0.25">
      <c r="A64" s="3" t="s">
        <v>0</v>
      </c>
      <c r="B64" s="3">
        <v>25</v>
      </c>
      <c r="C64" s="3">
        <v>1</v>
      </c>
      <c r="D64" s="3">
        <v>724.08399999999995</v>
      </c>
      <c r="E64" s="3">
        <v>0.90200000000000002</v>
      </c>
      <c r="F64" s="3">
        <v>170</v>
      </c>
    </row>
    <row r="65" spans="1:6" x14ac:dyDescent="0.25">
      <c r="A65" s="3" t="s">
        <v>0</v>
      </c>
      <c r="B65" s="3">
        <v>25</v>
      </c>
      <c r="C65" s="3">
        <v>1</v>
      </c>
      <c r="D65" s="3">
        <v>723.12199999999996</v>
      </c>
      <c r="E65" s="3">
        <v>0.90200000000000002</v>
      </c>
      <c r="F65" s="3">
        <v>154</v>
      </c>
    </row>
    <row r="66" spans="1:6" x14ac:dyDescent="0.25">
      <c r="A66" s="3" t="s">
        <v>0</v>
      </c>
      <c r="B66" s="3">
        <v>25</v>
      </c>
      <c r="C66" s="3">
        <v>1</v>
      </c>
      <c r="D66" s="3">
        <v>723.51</v>
      </c>
      <c r="E66" s="3">
        <v>0.90300000000000002</v>
      </c>
      <c r="F66" s="3">
        <v>179</v>
      </c>
    </row>
    <row r="67" spans="1:6" x14ac:dyDescent="0.25">
      <c r="A67" s="3" t="s">
        <v>0</v>
      </c>
      <c r="B67" s="3">
        <v>25</v>
      </c>
      <c r="C67" s="3">
        <v>1</v>
      </c>
      <c r="D67" s="3">
        <v>723.05200000000002</v>
      </c>
      <c r="E67" s="3">
        <v>0.90100000000000002</v>
      </c>
      <c r="F67" s="3">
        <v>148</v>
      </c>
    </row>
    <row r="68" spans="1:6" x14ac:dyDescent="0.25">
      <c r="A68" s="3" t="s">
        <v>0</v>
      </c>
      <c r="B68" s="3">
        <v>25</v>
      </c>
      <c r="C68" s="3">
        <v>1</v>
      </c>
      <c r="D68" s="3">
        <v>723.54399999999998</v>
      </c>
      <c r="E68" s="3">
        <v>0.90400000000000003</v>
      </c>
      <c r="F68" s="3">
        <v>169</v>
      </c>
    </row>
    <row r="69" spans="1:6" x14ac:dyDescent="0.25">
      <c r="A69" s="3" t="s">
        <v>0</v>
      </c>
      <c r="B69" s="3">
        <v>25</v>
      </c>
      <c r="C69" s="3">
        <v>1</v>
      </c>
      <c r="D69" s="3">
        <v>723.74300000000005</v>
      </c>
      <c r="E69" s="3">
        <v>0.90300000000000002</v>
      </c>
      <c r="F69" s="3">
        <v>157</v>
      </c>
    </row>
    <row r="70" spans="1:6" x14ac:dyDescent="0.25">
      <c r="A70" s="3" t="s">
        <v>0</v>
      </c>
      <c r="B70" s="3">
        <v>25</v>
      </c>
      <c r="C70" s="3">
        <v>1</v>
      </c>
      <c r="D70" s="3">
        <v>723.61300000000006</v>
      </c>
      <c r="E70" s="3">
        <v>0.90300000000000002</v>
      </c>
      <c r="F70" s="3">
        <v>174</v>
      </c>
    </row>
    <row r="71" spans="1:6" x14ac:dyDescent="0.25">
      <c r="A71" s="3" t="s">
        <v>0</v>
      </c>
      <c r="B71" s="3">
        <v>50</v>
      </c>
      <c r="C71" s="3">
        <v>1</v>
      </c>
      <c r="D71" s="3">
        <v>1571.6369999999999</v>
      </c>
      <c r="E71" s="3">
        <v>3.3730000000000002</v>
      </c>
      <c r="F71" s="3">
        <v>178</v>
      </c>
    </row>
    <row r="72" spans="1:6" x14ac:dyDescent="0.25">
      <c r="A72" s="3" t="s">
        <v>0</v>
      </c>
      <c r="B72" s="3">
        <v>50</v>
      </c>
      <c r="C72" s="3">
        <v>1</v>
      </c>
      <c r="D72" s="3">
        <v>1571.252</v>
      </c>
      <c r="E72" s="3">
        <v>3.3730000000000002</v>
      </c>
      <c r="F72" s="3">
        <v>178</v>
      </c>
    </row>
    <row r="73" spans="1:6" x14ac:dyDescent="0.25">
      <c r="A73" s="3" t="s">
        <v>0</v>
      </c>
      <c r="B73" s="3">
        <v>50</v>
      </c>
      <c r="C73" s="3">
        <v>1</v>
      </c>
      <c r="D73" s="3">
        <v>1572.557</v>
      </c>
      <c r="E73" s="3">
        <v>3.3740000000000001</v>
      </c>
      <c r="F73" s="3">
        <v>162</v>
      </c>
    </row>
    <row r="74" spans="1:6" x14ac:dyDescent="0.25">
      <c r="A74" s="3" t="s">
        <v>0</v>
      </c>
      <c r="B74" s="3">
        <v>50</v>
      </c>
      <c r="C74" s="3">
        <v>1</v>
      </c>
      <c r="D74" s="3">
        <v>1571.461</v>
      </c>
      <c r="E74" s="3">
        <v>3.3809999999999998</v>
      </c>
      <c r="F74" s="3">
        <v>174</v>
      </c>
    </row>
    <row r="75" spans="1:6" x14ac:dyDescent="0.25">
      <c r="A75" s="3" t="s">
        <v>0</v>
      </c>
      <c r="B75" s="3">
        <v>50</v>
      </c>
      <c r="C75" s="3">
        <v>1</v>
      </c>
      <c r="D75" s="3">
        <v>1572.403</v>
      </c>
      <c r="E75" s="3">
        <v>3.37</v>
      </c>
      <c r="F75" s="3">
        <v>178</v>
      </c>
    </row>
    <row r="76" spans="1:6" x14ac:dyDescent="0.25">
      <c r="A76" s="3" t="s">
        <v>0</v>
      </c>
      <c r="B76" s="3">
        <v>50</v>
      </c>
      <c r="C76" s="3">
        <v>1</v>
      </c>
      <c r="D76" s="3">
        <v>1570.9929999999999</v>
      </c>
      <c r="E76" s="3">
        <v>3.38</v>
      </c>
      <c r="F76" s="3">
        <v>168</v>
      </c>
    </row>
    <row r="77" spans="1:6" x14ac:dyDescent="0.25">
      <c r="A77" s="3" t="s">
        <v>0</v>
      </c>
      <c r="B77" s="3">
        <v>50</v>
      </c>
      <c r="C77" s="3">
        <v>1</v>
      </c>
      <c r="D77" s="3">
        <v>1571.3330000000001</v>
      </c>
      <c r="E77" s="3">
        <v>3.375</v>
      </c>
      <c r="F77" s="3">
        <v>172</v>
      </c>
    </row>
    <row r="78" spans="1:6" x14ac:dyDescent="0.25">
      <c r="A78" s="3" t="s">
        <v>0</v>
      </c>
      <c r="B78" s="3">
        <v>50</v>
      </c>
      <c r="C78" s="3">
        <v>1</v>
      </c>
      <c r="D78" s="3">
        <v>1571.07</v>
      </c>
      <c r="E78" s="3">
        <v>3.395</v>
      </c>
      <c r="F78" s="3">
        <v>171</v>
      </c>
    </row>
    <row r="79" spans="1:6" x14ac:dyDescent="0.25">
      <c r="A79" s="3" t="s">
        <v>0</v>
      </c>
      <c r="B79" s="3">
        <v>50</v>
      </c>
      <c r="C79" s="3">
        <v>1</v>
      </c>
      <c r="D79" s="3">
        <v>1572.172</v>
      </c>
      <c r="E79" s="3">
        <v>3.3769999999999998</v>
      </c>
      <c r="F79" s="3">
        <v>167</v>
      </c>
    </row>
    <row r="80" spans="1:6" x14ac:dyDescent="0.25">
      <c r="A80" s="3" t="s">
        <v>0</v>
      </c>
      <c r="B80" s="3">
        <v>50</v>
      </c>
      <c r="C80" s="3">
        <v>1</v>
      </c>
      <c r="D80" s="3">
        <v>1571.5309999999999</v>
      </c>
      <c r="E80" s="3">
        <v>3.379</v>
      </c>
      <c r="F80" s="3">
        <v>177</v>
      </c>
    </row>
    <row r="81" spans="1:6" x14ac:dyDescent="0.25">
      <c r="A81" s="3" t="s">
        <v>0</v>
      </c>
      <c r="B81" s="3">
        <v>100</v>
      </c>
      <c r="C81" s="3">
        <v>1</v>
      </c>
      <c r="D81" s="3">
        <v>3327.44</v>
      </c>
      <c r="E81" s="3">
        <v>11.391</v>
      </c>
      <c r="F81" s="3">
        <v>144</v>
      </c>
    </row>
    <row r="82" spans="1:6" x14ac:dyDescent="0.25">
      <c r="A82" s="3" t="s">
        <v>0</v>
      </c>
      <c r="B82" s="3">
        <v>100</v>
      </c>
      <c r="C82" s="3">
        <v>1</v>
      </c>
      <c r="D82" s="3">
        <v>3338.7179999999998</v>
      </c>
      <c r="E82" s="3">
        <v>11.323</v>
      </c>
      <c r="F82" s="3">
        <v>146</v>
      </c>
    </row>
    <row r="83" spans="1:6" x14ac:dyDescent="0.25">
      <c r="A83" s="3" t="s">
        <v>0</v>
      </c>
      <c r="B83" s="3">
        <v>100</v>
      </c>
      <c r="C83" s="3">
        <v>1</v>
      </c>
      <c r="D83" s="3">
        <v>3291.77</v>
      </c>
      <c r="E83" s="3">
        <v>11.335000000000001</v>
      </c>
      <c r="F83" s="3">
        <v>153</v>
      </c>
    </row>
    <row r="84" spans="1:6" x14ac:dyDescent="0.25">
      <c r="A84" s="3" t="s">
        <v>0</v>
      </c>
      <c r="B84" s="3">
        <v>100</v>
      </c>
      <c r="C84" s="3">
        <v>1</v>
      </c>
      <c r="D84" s="3">
        <v>3292.8649999999998</v>
      </c>
      <c r="E84" s="3">
        <v>11.337999999999999</v>
      </c>
      <c r="F84" s="3">
        <v>151</v>
      </c>
    </row>
    <row r="85" spans="1:6" x14ac:dyDescent="0.25">
      <c r="A85" s="3" t="s">
        <v>0</v>
      </c>
      <c r="B85" s="3">
        <v>100</v>
      </c>
      <c r="C85" s="3">
        <v>1</v>
      </c>
      <c r="D85" s="3">
        <v>3291.3629999999998</v>
      </c>
      <c r="E85" s="3">
        <v>11.317</v>
      </c>
      <c r="F85" s="3">
        <v>149</v>
      </c>
    </row>
    <row r="86" spans="1:6" x14ac:dyDescent="0.25">
      <c r="A86" s="3" t="s">
        <v>0</v>
      </c>
      <c r="B86" s="3">
        <v>100</v>
      </c>
      <c r="C86" s="3">
        <v>1</v>
      </c>
      <c r="D86" s="3">
        <v>3326.1550000000002</v>
      </c>
      <c r="E86" s="3">
        <v>11.332000000000001</v>
      </c>
      <c r="F86" s="3">
        <v>144</v>
      </c>
    </row>
    <row r="87" spans="1:6" x14ac:dyDescent="0.25">
      <c r="A87" s="3" t="s">
        <v>0</v>
      </c>
      <c r="B87" s="3">
        <v>100</v>
      </c>
      <c r="C87" s="3">
        <v>1</v>
      </c>
      <c r="D87" s="3">
        <v>3314.4140000000002</v>
      </c>
      <c r="E87" s="3">
        <v>11.313000000000001</v>
      </c>
      <c r="F87" s="3">
        <v>145</v>
      </c>
    </row>
    <row r="88" spans="1:6" x14ac:dyDescent="0.25">
      <c r="A88" s="3" t="s">
        <v>0</v>
      </c>
      <c r="B88" s="3">
        <v>100</v>
      </c>
      <c r="C88" s="3">
        <v>1</v>
      </c>
      <c r="D88" s="3">
        <v>3326.0140000000001</v>
      </c>
      <c r="E88" s="3">
        <v>11.315</v>
      </c>
      <c r="F88" s="3">
        <v>144</v>
      </c>
    </row>
    <row r="89" spans="1:6" x14ac:dyDescent="0.25">
      <c r="A89" s="3" t="s">
        <v>0</v>
      </c>
      <c r="B89" s="3">
        <v>100</v>
      </c>
      <c r="C89" s="3">
        <v>1</v>
      </c>
      <c r="D89" s="3">
        <v>3330.0569999999998</v>
      </c>
      <c r="E89" s="3">
        <v>11.342000000000001</v>
      </c>
      <c r="F89" s="3">
        <v>147</v>
      </c>
    </row>
    <row r="90" spans="1:6" x14ac:dyDescent="0.25">
      <c r="A90" s="3" t="s">
        <v>0</v>
      </c>
      <c r="B90" s="3">
        <v>100</v>
      </c>
      <c r="C90" s="3">
        <v>1</v>
      </c>
      <c r="D90" s="3">
        <v>3310.7370000000001</v>
      </c>
      <c r="E90" s="3">
        <v>11.327</v>
      </c>
      <c r="F90" s="3">
        <v>147</v>
      </c>
    </row>
  </sheetData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0"/>
  <sheetViews>
    <sheetView zoomScale="85" zoomScaleNormal="85" workbookViewId="0">
      <selection sqref="A1:A91"/>
    </sheetView>
  </sheetViews>
  <sheetFormatPr defaultColWidth="9" defaultRowHeight="15" x14ac:dyDescent="0.25"/>
  <cols>
    <col min="1" max="1" width="10" style="3" customWidth="1"/>
    <col min="2" max="2" width="4.375" style="3" bestFit="1" customWidth="1"/>
    <col min="3" max="3" width="2.625" style="3" bestFit="1" customWidth="1"/>
    <col min="4" max="4" width="9" style="3"/>
    <col min="5" max="5" width="7" style="3" bestFit="1" customWidth="1"/>
    <col min="6" max="6" width="4.375" style="3" bestFit="1" customWidth="1"/>
    <col min="7" max="7" width="2.375" style="3" customWidth="1"/>
    <col min="8" max="8" width="9.5" style="3" customWidth="1"/>
    <col min="9" max="9" width="4.375" style="3" bestFit="1" customWidth="1"/>
    <col min="10" max="10" width="3.125" style="3" bestFit="1" customWidth="1"/>
    <col min="11" max="11" width="2.625" style="3" customWidth="1"/>
    <col min="12" max="21" width="9" style="3"/>
    <col min="22" max="22" width="2.625" style="3" customWidth="1"/>
    <col min="23" max="23" width="9" style="3"/>
    <col min="24" max="24" width="3.5" style="3" customWidth="1"/>
    <col min="25" max="25" width="9" style="3"/>
    <col min="26" max="26" width="2.25" style="3" customWidth="1"/>
    <col min="27" max="27" width="2.625" style="3" customWidth="1"/>
    <col min="28" max="37" width="9" style="3"/>
    <col min="38" max="38" width="5.625" style="3" customWidth="1"/>
    <col min="39" max="16384" width="9" style="3"/>
  </cols>
  <sheetData>
    <row r="1" spans="1:39" x14ac:dyDescent="0.25">
      <c r="A1" s="3" t="s">
        <v>2</v>
      </c>
      <c r="B1" s="3">
        <v>24</v>
      </c>
      <c r="C1" s="3">
        <v>1</v>
      </c>
      <c r="D1" s="3">
        <v>55970.415999999997</v>
      </c>
      <c r="E1" s="3">
        <v>1.2390000000000001</v>
      </c>
      <c r="F1" s="3">
        <v>169</v>
      </c>
      <c r="H1" s="5" t="s">
        <v>13</v>
      </c>
      <c r="I1" s="5" t="s">
        <v>14</v>
      </c>
      <c r="J1" s="5" t="s">
        <v>10</v>
      </c>
      <c r="K1" s="2"/>
      <c r="L1" s="2">
        <v>1</v>
      </c>
      <c r="M1" s="2">
        <v>2</v>
      </c>
      <c r="N1" s="2">
        <v>3</v>
      </c>
      <c r="O1" s="2">
        <v>4</v>
      </c>
      <c r="P1" s="2">
        <v>5</v>
      </c>
      <c r="Q1" s="2">
        <v>6</v>
      </c>
      <c r="R1" s="2">
        <v>7</v>
      </c>
      <c r="S1" s="2">
        <v>8</v>
      </c>
      <c r="T1" s="2">
        <v>9</v>
      </c>
      <c r="U1" s="2">
        <v>10</v>
      </c>
      <c r="W1" s="2" t="s">
        <v>11</v>
      </c>
      <c r="X1" s="2"/>
      <c r="Y1" s="2" t="s">
        <v>9</v>
      </c>
      <c r="Z1" s="2"/>
      <c r="AM1" s="5" t="s">
        <v>12</v>
      </c>
    </row>
    <row r="2" spans="1:39" x14ac:dyDescent="0.25">
      <c r="A2" s="3" t="s">
        <v>2</v>
      </c>
      <c r="B2" s="3">
        <v>24</v>
      </c>
      <c r="C2" s="3">
        <v>1</v>
      </c>
      <c r="D2" s="3">
        <v>55987.635999999999</v>
      </c>
      <c r="E2" s="3">
        <v>1.238</v>
      </c>
      <c r="F2" s="3">
        <v>187</v>
      </c>
      <c r="H2" s="3" t="s">
        <v>2</v>
      </c>
      <c r="I2" s="3">
        <v>24</v>
      </c>
      <c r="J2" s="3">
        <v>1</v>
      </c>
      <c r="L2" s="3">
        <f ca="1">INDIRECT("D"&amp;1+(ROW(D1)-1)*10+COLUMN(A1)-1)</f>
        <v>55970.415999999997</v>
      </c>
      <c r="M2" s="3">
        <f t="shared" ref="M2:U10" ca="1" si="0">INDIRECT("D"&amp;1+(ROW(E1)-1)*10+COLUMN(B1)-1)</f>
        <v>55987.635999999999</v>
      </c>
      <c r="N2" s="3">
        <f t="shared" ca="1" si="0"/>
        <v>56018.550999999999</v>
      </c>
      <c r="O2" s="3">
        <f t="shared" ca="1" si="0"/>
        <v>55977.98</v>
      </c>
      <c r="P2" s="3">
        <f t="shared" ca="1" si="0"/>
        <v>55998.987000000001</v>
      </c>
      <c r="Q2" s="3">
        <f t="shared" ca="1" si="0"/>
        <v>55998.591999999997</v>
      </c>
      <c r="R2" s="3">
        <f t="shared" ca="1" si="0"/>
        <v>56001.394</v>
      </c>
      <c r="S2" s="3">
        <f t="shared" ca="1" si="0"/>
        <v>55986.307999999997</v>
      </c>
      <c r="T2" s="3">
        <f t="shared" ca="1" si="0"/>
        <v>56027.37</v>
      </c>
      <c r="U2" s="3">
        <f t="shared" ca="1" si="0"/>
        <v>55970.561000000002</v>
      </c>
      <c r="W2" s="3">
        <f ca="1">AVERAGE(L2:U2)</f>
        <v>55993.779500000004</v>
      </c>
      <c r="Y2" s="3">
        <f ca="1">Total!E2</f>
        <v>55722.476000000002</v>
      </c>
      <c r="AB2" s="3">
        <f t="shared" ref="AB2:AK10" ca="1" si="1">(L2-$Y2)/$Y2</f>
        <v>4.4495510213866853E-3</v>
      </c>
      <c r="AC2" s="3">
        <f t="shared" ca="1" si="1"/>
        <v>4.7585825152492546E-3</v>
      </c>
      <c r="AD2" s="3">
        <f t="shared" ca="1" si="1"/>
        <v>5.3133855717394374E-3</v>
      </c>
      <c r="AE2" s="3">
        <f t="shared" ca="1" si="1"/>
        <v>4.5852951688650882E-3</v>
      </c>
      <c r="AF2" s="3">
        <f t="shared" ca="1" si="1"/>
        <v>4.9622884668656612E-3</v>
      </c>
      <c r="AG2" s="3">
        <f t="shared" ca="1" si="1"/>
        <v>4.9551997653513192E-3</v>
      </c>
      <c r="AH2" s="3">
        <f t="shared" ca="1" si="1"/>
        <v>5.0054846809032289E-3</v>
      </c>
      <c r="AI2" s="3">
        <f t="shared" ca="1" si="1"/>
        <v>4.734750121297461E-3</v>
      </c>
      <c r="AJ2" s="3">
        <f t="shared" ca="1" si="1"/>
        <v>5.4716520493454067E-3</v>
      </c>
      <c r="AK2" s="3">
        <f t="shared" ca="1" si="1"/>
        <v>4.4521532029552875E-3</v>
      </c>
      <c r="AM2" s="3">
        <f ca="1">SUM(AB2:AK2)</f>
        <v>4.8688342563958827E-2</v>
      </c>
    </row>
    <row r="3" spans="1:39" x14ac:dyDescent="0.25">
      <c r="A3" s="3" t="s">
        <v>2</v>
      </c>
      <c r="B3" s="3">
        <v>24</v>
      </c>
      <c r="C3" s="3">
        <v>1</v>
      </c>
      <c r="D3" s="3">
        <v>56018.550999999999</v>
      </c>
      <c r="E3" s="3">
        <v>1.2370000000000001</v>
      </c>
      <c r="F3" s="3">
        <v>209</v>
      </c>
      <c r="H3" s="3" t="s">
        <v>2</v>
      </c>
      <c r="I3" s="3">
        <v>47</v>
      </c>
      <c r="J3" s="3">
        <v>1</v>
      </c>
      <c r="L3" s="3">
        <f t="shared" ref="L3:L10" ca="1" si="2">INDIRECT("D"&amp;1+(ROW(D2)-1)*10+COLUMN(A2)-1)</f>
        <v>126195.375</v>
      </c>
      <c r="M3" s="3">
        <f t="shared" ca="1" si="0"/>
        <v>126262.88099999999</v>
      </c>
      <c r="N3" s="3">
        <f t="shared" ca="1" si="0"/>
        <v>126226.78200000001</v>
      </c>
      <c r="O3" s="3">
        <f t="shared" ca="1" si="0"/>
        <v>126296.40700000001</v>
      </c>
      <c r="P3" s="3">
        <f t="shared" ca="1" si="0"/>
        <v>126476.11900000001</v>
      </c>
      <c r="Q3" s="3">
        <f t="shared" ca="1" si="0"/>
        <v>126161.804</v>
      </c>
      <c r="R3" s="3">
        <f t="shared" ca="1" si="0"/>
        <v>126174.743</v>
      </c>
      <c r="S3" s="3">
        <f t="shared" ca="1" si="0"/>
        <v>126186.788</v>
      </c>
      <c r="T3" s="3">
        <f t="shared" ca="1" si="0"/>
        <v>126303.74</v>
      </c>
      <c r="U3" s="3">
        <f t="shared" ca="1" si="0"/>
        <v>126446.73</v>
      </c>
      <c r="W3" s="3">
        <f t="shared" ref="W3:W10" ca="1" si="3">AVERAGE(L3:U3)</f>
        <v>126273.1369</v>
      </c>
      <c r="Y3" s="3">
        <f ca="1">Total!E3</f>
        <v>126021.209</v>
      </c>
      <c r="AB3" s="3">
        <f t="shared" ca="1" si="1"/>
        <v>1.3820372093081366E-3</v>
      </c>
      <c r="AC3" s="3">
        <f t="shared" ca="1" si="1"/>
        <v>1.9177089469121929E-3</v>
      </c>
      <c r="AD3" s="3">
        <f t="shared" ca="1" si="1"/>
        <v>1.6312571640223191E-3</v>
      </c>
      <c r="AE3" s="3">
        <f t="shared" ca="1" si="1"/>
        <v>2.1837435316146184E-3</v>
      </c>
      <c r="AF3" s="3">
        <f t="shared" ca="1" si="1"/>
        <v>3.609789206196264E-3</v>
      </c>
      <c r="AG3" s="3">
        <f t="shared" ca="1" si="1"/>
        <v>1.1156455418547934E-3</v>
      </c>
      <c r="AH3" s="3">
        <f t="shared" ca="1" si="1"/>
        <v>1.2183187355391872E-3</v>
      </c>
      <c r="AI3" s="3">
        <f t="shared" ca="1" si="1"/>
        <v>1.3138978852361106E-3</v>
      </c>
      <c r="AJ3" s="3">
        <f t="shared" ca="1" si="1"/>
        <v>2.2419321496907926E-3</v>
      </c>
      <c r="AK3" s="3">
        <f t="shared" ca="1" si="1"/>
        <v>3.3765824290734534E-3</v>
      </c>
      <c r="AM3" s="3">
        <f t="shared" ref="AM3:AM10" ca="1" si="4">SUM(AB3:AK3)</f>
        <v>1.9990912799447869E-2</v>
      </c>
    </row>
    <row r="4" spans="1:39" x14ac:dyDescent="0.25">
      <c r="A4" s="3" t="s">
        <v>2</v>
      </c>
      <c r="B4" s="3">
        <v>24</v>
      </c>
      <c r="C4" s="3">
        <v>1</v>
      </c>
      <c r="D4" s="3">
        <v>55977.98</v>
      </c>
      <c r="E4" s="3">
        <v>1.2370000000000001</v>
      </c>
      <c r="F4" s="3">
        <v>207</v>
      </c>
      <c r="H4" s="3" t="s">
        <v>2</v>
      </c>
      <c r="I4" s="3">
        <v>100</v>
      </c>
      <c r="J4" s="3">
        <v>1</v>
      </c>
      <c r="L4" s="3">
        <f t="shared" ca="1" si="2"/>
        <v>1217486.0630000001</v>
      </c>
      <c r="M4" s="3">
        <f t="shared" ca="1" si="0"/>
        <v>1216994.524</v>
      </c>
      <c r="N4" s="3">
        <f t="shared" ca="1" si="0"/>
        <v>1217035.9410000001</v>
      </c>
      <c r="O4" s="3">
        <f t="shared" ca="1" si="0"/>
        <v>1216949.5390000001</v>
      </c>
      <c r="P4" s="3">
        <f t="shared" ca="1" si="0"/>
        <v>1216993.5519999999</v>
      </c>
      <c r="Q4" s="3">
        <f t="shared" ca="1" si="0"/>
        <v>1216655.365</v>
      </c>
      <c r="R4" s="3">
        <f t="shared" ca="1" si="0"/>
        <v>1217133.0179999999</v>
      </c>
      <c r="S4" s="3">
        <f t="shared" ca="1" si="0"/>
        <v>1217362.7960000001</v>
      </c>
      <c r="T4" s="3">
        <f t="shared" ca="1" si="0"/>
        <v>1217970.3030000001</v>
      </c>
      <c r="U4" s="3">
        <f t="shared" ca="1" si="0"/>
        <v>1217098.747</v>
      </c>
      <c r="W4" s="3">
        <f t="shared" ca="1" si="3"/>
        <v>1217167.9848</v>
      </c>
      <c r="Y4" s="3">
        <f ca="1">Total!E4</f>
        <v>1216556.6340000001</v>
      </c>
      <c r="AB4" s="3">
        <f t="shared" ca="1" si="1"/>
        <v>7.6398333955409077E-4</v>
      </c>
      <c r="AC4" s="3">
        <f t="shared" ca="1" si="1"/>
        <v>3.5994214141936735E-4</v>
      </c>
      <c r="AD4" s="3">
        <f t="shared" ca="1" si="1"/>
        <v>3.9398659018781841E-4</v>
      </c>
      <c r="AE4" s="3">
        <f t="shared" ca="1" si="1"/>
        <v>3.2296482466925407E-4</v>
      </c>
      <c r="AF4" s="3">
        <f t="shared" ca="1" si="1"/>
        <v>3.591431650520517E-4</v>
      </c>
      <c r="AG4" s="3">
        <f t="shared" ca="1" si="1"/>
        <v>8.1156106703629595E-5</v>
      </c>
      <c r="AH4" s="3">
        <f t="shared" ca="1" si="1"/>
        <v>4.7378312187958967E-4</v>
      </c>
      <c r="AI4" s="3">
        <f t="shared" ca="1" si="1"/>
        <v>6.62658833522099E-4</v>
      </c>
      <c r="AJ4" s="3">
        <f t="shared" ca="1" si="1"/>
        <v>1.1620248170049387E-3</v>
      </c>
      <c r="AK4" s="3">
        <f t="shared" ca="1" si="1"/>
        <v>4.4561262899651873E-4</v>
      </c>
      <c r="AM4" s="3">
        <f t="shared" ca="1" si="4"/>
        <v>5.0252555689893575E-3</v>
      </c>
    </row>
    <row r="5" spans="1:39" x14ac:dyDescent="0.25">
      <c r="A5" s="3" t="s">
        <v>2</v>
      </c>
      <c r="B5" s="3">
        <v>24</v>
      </c>
      <c r="C5" s="3">
        <v>1</v>
      </c>
      <c r="D5" s="3">
        <v>55998.987000000001</v>
      </c>
      <c r="E5" s="3">
        <v>1.24</v>
      </c>
      <c r="F5" s="3">
        <v>194</v>
      </c>
      <c r="H5" s="3" t="s">
        <v>1</v>
      </c>
      <c r="I5" s="3">
        <v>30</v>
      </c>
      <c r="J5" s="3">
        <v>1</v>
      </c>
      <c r="L5" s="3">
        <f t="shared" ca="1" si="2"/>
        <v>19983.687000000002</v>
      </c>
      <c r="M5" s="3">
        <f t="shared" ca="1" si="0"/>
        <v>20002.977999999999</v>
      </c>
      <c r="N5" s="3">
        <f t="shared" ca="1" si="0"/>
        <v>20017.634999999998</v>
      </c>
      <c r="O5" s="3">
        <f t="shared" ca="1" si="0"/>
        <v>19982.663</v>
      </c>
      <c r="P5" s="3">
        <f t="shared" ca="1" si="0"/>
        <v>19997.285</v>
      </c>
      <c r="Q5" s="3">
        <f t="shared" ca="1" si="0"/>
        <v>20070.427</v>
      </c>
      <c r="R5" s="3">
        <f t="shared" ca="1" si="0"/>
        <v>19996.523000000001</v>
      </c>
      <c r="S5" s="3">
        <f t="shared" ca="1" si="0"/>
        <v>20020.38</v>
      </c>
      <c r="T5" s="3">
        <f t="shared" ca="1" si="0"/>
        <v>20066.883999999998</v>
      </c>
      <c r="U5" s="3">
        <f t="shared" ca="1" si="0"/>
        <v>20015.662</v>
      </c>
      <c r="W5" s="3">
        <f t="shared" ca="1" si="3"/>
        <v>20015.412400000001</v>
      </c>
      <c r="Y5" s="3">
        <f ca="1">Total!E5</f>
        <v>19969.536</v>
      </c>
      <c r="AB5" s="3">
        <f t="shared" ca="1" si="1"/>
        <v>7.0862938427821548E-4</v>
      </c>
      <c r="AC5" s="3">
        <f t="shared" ca="1" si="1"/>
        <v>1.6746508281413799E-3</v>
      </c>
      <c r="AD5" s="3">
        <f t="shared" ca="1" si="1"/>
        <v>2.4086188081685195E-3</v>
      </c>
      <c r="AE5" s="3">
        <f t="shared" ca="1" si="1"/>
        <v>6.5735127746585631E-4</v>
      </c>
      <c r="AF5" s="3">
        <f t="shared" ca="1" si="1"/>
        <v>1.3895665878265672E-3</v>
      </c>
      <c r="AG5" s="3">
        <f t="shared" ca="1" si="1"/>
        <v>5.0522455804681505E-3</v>
      </c>
      <c r="AH5" s="3">
        <f t="shared" ca="1" si="1"/>
        <v>1.3514084653745079E-3</v>
      </c>
      <c r="AI5" s="3">
        <f t="shared" ca="1" si="1"/>
        <v>2.5460781862934102E-3</v>
      </c>
      <c r="AJ5" s="3">
        <f t="shared" ca="1" si="1"/>
        <v>4.8748253339485773E-3</v>
      </c>
      <c r="AK5" s="3">
        <f t="shared" ca="1" si="1"/>
        <v>2.3098183152578107E-3</v>
      </c>
      <c r="AM5" s="3">
        <f t="shared" ca="1" si="4"/>
        <v>2.2973192767222997E-2</v>
      </c>
    </row>
    <row r="6" spans="1:39" x14ac:dyDescent="0.25">
      <c r="A6" s="3" t="s">
        <v>2</v>
      </c>
      <c r="B6" s="3">
        <v>24</v>
      </c>
      <c r="C6" s="3">
        <v>1</v>
      </c>
      <c r="D6" s="3">
        <v>55998.591999999997</v>
      </c>
      <c r="E6" s="3">
        <v>1.2390000000000001</v>
      </c>
      <c r="F6" s="3">
        <v>188</v>
      </c>
      <c r="H6" s="3" t="s">
        <v>1</v>
      </c>
      <c r="I6" s="3">
        <v>50</v>
      </c>
      <c r="J6" s="3">
        <v>1</v>
      </c>
      <c r="L6" s="3">
        <f t="shared" ca="1" si="2"/>
        <v>35310.231</v>
      </c>
      <c r="M6" s="3">
        <f t="shared" ca="1" si="0"/>
        <v>35330.203999999998</v>
      </c>
      <c r="N6" s="3">
        <f t="shared" ca="1" si="0"/>
        <v>35343.934999999998</v>
      </c>
      <c r="O6" s="3">
        <f t="shared" ca="1" si="0"/>
        <v>35287.519999999997</v>
      </c>
      <c r="P6" s="3">
        <f t="shared" ca="1" si="0"/>
        <v>35335.894999999997</v>
      </c>
      <c r="Q6" s="3">
        <f t="shared" ca="1" si="0"/>
        <v>35291.646000000001</v>
      </c>
      <c r="R6" s="3">
        <f t="shared" ca="1" si="0"/>
        <v>35310.644</v>
      </c>
      <c r="S6" s="3">
        <f t="shared" ca="1" si="0"/>
        <v>35323.216999999997</v>
      </c>
      <c r="T6" s="3">
        <f t="shared" ca="1" si="0"/>
        <v>35389.091</v>
      </c>
      <c r="U6" s="3">
        <f t="shared" ca="1" si="0"/>
        <v>35358.993000000002</v>
      </c>
      <c r="W6" s="3">
        <f t="shared" ca="1" si="3"/>
        <v>35328.137600000002</v>
      </c>
      <c r="Y6" s="3">
        <f ca="1">Total!E6</f>
        <v>35277.981</v>
      </c>
      <c r="AB6" s="3">
        <f t="shared" ca="1" si="1"/>
        <v>9.1416796216314085E-4</v>
      </c>
      <c r="AC6" s="3">
        <f t="shared" ca="1" si="1"/>
        <v>1.4803284802494263E-3</v>
      </c>
      <c r="AD6" s="3">
        <f t="shared" ca="1" si="1"/>
        <v>1.8695514349304147E-3</v>
      </c>
      <c r="AE6" s="3">
        <f t="shared" ca="1" si="1"/>
        <v>2.7039529274640268E-4</v>
      </c>
      <c r="AF6" s="3">
        <f t="shared" ca="1" si="1"/>
        <v>1.6416472359911138E-3</v>
      </c>
      <c r="AG6" s="3">
        <f t="shared" ca="1" si="1"/>
        <v>3.8735209931659281E-4</v>
      </c>
      <c r="AH6" s="3">
        <f t="shared" ca="1" si="1"/>
        <v>9.2587498133752224E-4</v>
      </c>
      <c r="AI6" s="3">
        <f t="shared" ca="1" si="1"/>
        <v>1.2822729282607514E-3</v>
      </c>
      <c r="AJ6" s="3">
        <f t="shared" ca="1" si="1"/>
        <v>3.14955665971929E-3</v>
      </c>
      <c r="AK6" s="3">
        <f t="shared" ca="1" si="1"/>
        <v>2.2963899209538789E-3</v>
      </c>
      <c r="AM6" s="3">
        <f t="shared" ca="1" si="4"/>
        <v>1.4217536995668533E-2</v>
      </c>
    </row>
    <row r="7" spans="1:39" x14ac:dyDescent="0.25">
      <c r="A7" s="3" t="s">
        <v>2</v>
      </c>
      <c r="B7" s="3">
        <v>24</v>
      </c>
      <c r="C7" s="3">
        <v>1</v>
      </c>
      <c r="D7" s="3">
        <v>56001.394</v>
      </c>
      <c r="E7" s="3">
        <v>1.236</v>
      </c>
      <c r="F7" s="3">
        <v>193</v>
      </c>
      <c r="H7" s="3" t="s">
        <v>1</v>
      </c>
      <c r="I7" s="3">
        <v>100</v>
      </c>
      <c r="J7" s="3">
        <v>1</v>
      </c>
      <c r="L7" s="3">
        <f t="shared" ca="1" si="2"/>
        <v>63173.870999999999</v>
      </c>
      <c r="M7" s="3">
        <f t="shared" ca="1" si="0"/>
        <v>63123.540999999997</v>
      </c>
      <c r="N7" s="3">
        <f t="shared" ca="1" si="0"/>
        <v>63190.374000000003</v>
      </c>
      <c r="O7" s="3">
        <f t="shared" ca="1" si="0"/>
        <v>63231.796999999999</v>
      </c>
      <c r="P7" s="3">
        <f t="shared" ca="1" si="0"/>
        <v>63188.938999999998</v>
      </c>
      <c r="Q7" s="3">
        <f t="shared" ca="1" si="0"/>
        <v>63163.96</v>
      </c>
      <c r="R7" s="3">
        <f t="shared" ca="1" si="0"/>
        <v>63139.368999999999</v>
      </c>
      <c r="S7" s="3">
        <f t="shared" ca="1" si="0"/>
        <v>63097.625</v>
      </c>
      <c r="T7" s="3">
        <f t="shared" ca="1" si="0"/>
        <v>63105.553</v>
      </c>
      <c r="U7" s="3">
        <f t="shared" ca="1" si="0"/>
        <v>63119.684999999998</v>
      </c>
      <c r="W7" s="3">
        <f t="shared" ca="1" si="3"/>
        <v>63153.471399999995</v>
      </c>
      <c r="Y7" s="3">
        <f ca="1">Total!E7</f>
        <v>63035.512000000002</v>
      </c>
      <c r="AB7" s="3">
        <f t="shared" ca="1" si="1"/>
        <v>2.1949373553116652E-3</v>
      </c>
      <c r="AC7" s="3">
        <f t="shared" ca="1" si="1"/>
        <v>1.3964985324462025E-3</v>
      </c>
      <c r="AD7" s="3">
        <f t="shared" ca="1" si="1"/>
        <v>2.4567421614660793E-3</v>
      </c>
      <c r="AE7" s="3">
        <f t="shared" ca="1" si="1"/>
        <v>3.1138796810279926E-3</v>
      </c>
      <c r="AF7" s="3">
        <f t="shared" ca="1" si="1"/>
        <v>2.433977215890561E-3</v>
      </c>
      <c r="AG7" s="3">
        <f t="shared" ca="1" si="1"/>
        <v>2.0377085221421963E-3</v>
      </c>
      <c r="AH7" s="3">
        <f t="shared" ca="1" si="1"/>
        <v>1.6475950889396492E-3</v>
      </c>
      <c r="AI7" s="3">
        <f t="shared" ca="1" si="1"/>
        <v>9.8536520176115247E-4</v>
      </c>
      <c r="AJ7" s="3">
        <f t="shared" ca="1" si="1"/>
        <v>1.1111355770378676E-3</v>
      </c>
      <c r="AK7" s="3">
        <f t="shared" ca="1" si="1"/>
        <v>1.3353266647535952E-3</v>
      </c>
      <c r="AM7" s="3">
        <f t="shared" ca="1" si="4"/>
        <v>1.8713166000776962E-2</v>
      </c>
    </row>
    <row r="8" spans="1:39" x14ac:dyDescent="0.25">
      <c r="A8" s="3" t="s">
        <v>2</v>
      </c>
      <c r="B8" s="3">
        <v>24</v>
      </c>
      <c r="C8" s="3">
        <v>1</v>
      </c>
      <c r="D8" s="3">
        <v>55986.307999999997</v>
      </c>
      <c r="E8" s="3">
        <v>1.2370000000000001</v>
      </c>
      <c r="F8" s="3">
        <v>206</v>
      </c>
      <c r="H8" s="3" t="s">
        <v>0</v>
      </c>
      <c r="I8" s="3">
        <v>25</v>
      </c>
      <c r="J8" s="3">
        <v>1</v>
      </c>
      <c r="L8" s="3">
        <f t="shared" ca="1" si="2"/>
        <v>723.74699999999996</v>
      </c>
      <c r="M8" s="3">
        <f t="shared" ca="1" si="0"/>
        <v>723.54300000000001</v>
      </c>
      <c r="N8" s="3">
        <f t="shared" ca="1" si="0"/>
        <v>723.64300000000003</v>
      </c>
      <c r="O8" s="3">
        <f t="shared" ca="1" si="0"/>
        <v>722.96500000000003</v>
      </c>
      <c r="P8" s="3">
        <f t="shared" ca="1" si="0"/>
        <v>723.03399999999999</v>
      </c>
      <c r="Q8" s="3">
        <f t="shared" ca="1" si="0"/>
        <v>724.07600000000002</v>
      </c>
      <c r="R8" s="3">
        <f t="shared" ca="1" si="0"/>
        <v>723.41399999999999</v>
      </c>
      <c r="S8" s="3">
        <f t="shared" ca="1" si="0"/>
        <v>723.54399999999998</v>
      </c>
      <c r="T8" s="3">
        <f t="shared" ca="1" si="0"/>
        <v>723.82899999999995</v>
      </c>
      <c r="U8" s="3">
        <f t="shared" ca="1" si="0"/>
        <v>723.10299999999995</v>
      </c>
      <c r="W8" s="3">
        <f t="shared" ca="1" si="3"/>
        <v>723.48979999999995</v>
      </c>
      <c r="Y8" s="3">
        <f ca="1">Total!E8</f>
        <v>722.92</v>
      </c>
      <c r="AB8" s="3">
        <f t="shared" ca="1" si="1"/>
        <v>1.1439716704476266E-3</v>
      </c>
      <c r="AC8" s="3">
        <f t="shared" ca="1" si="1"/>
        <v>8.6178276987778366E-4</v>
      </c>
      <c r="AD8" s="3">
        <f t="shared" ca="1" si="1"/>
        <v>1.0001106623140459E-3</v>
      </c>
      <c r="AE8" s="3">
        <f t="shared" ca="1" si="1"/>
        <v>6.2247551596404527E-5</v>
      </c>
      <c r="AF8" s="3">
        <f t="shared" ca="1" si="1"/>
        <v>1.5769379737734846E-4</v>
      </c>
      <c r="AG8" s="3">
        <f t="shared" ca="1" si="1"/>
        <v>1.5990704365629153E-3</v>
      </c>
      <c r="AH8" s="3">
        <f t="shared" ca="1" si="1"/>
        <v>6.8333978863501941E-4</v>
      </c>
      <c r="AI8" s="3">
        <f t="shared" ca="1" si="1"/>
        <v>8.6316604880211324E-4</v>
      </c>
      <c r="AJ8" s="3">
        <f t="shared" ca="1" si="1"/>
        <v>1.2574005422453271E-3</v>
      </c>
      <c r="AK8" s="3">
        <f t="shared" ca="1" si="1"/>
        <v>2.5314004315829238E-4</v>
      </c>
      <c r="AM8" s="3">
        <f t="shared" ca="1" si="4"/>
        <v>7.8819233110168762E-3</v>
      </c>
    </row>
    <row r="9" spans="1:39" x14ac:dyDescent="0.25">
      <c r="A9" s="3" t="s">
        <v>2</v>
      </c>
      <c r="B9" s="3">
        <v>24</v>
      </c>
      <c r="C9" s="3">
        <v>1</v>
      </c>
      <c r="D9" s="3">
        <v>56027.37</v>
      </c>
      <c r="E9" s="3">
        <v>1.2370000000000001</v>
      </c>
      <c r="F9" s="3">
        <v>190</v>
      </c>
      <c r="H9" s="3" t="s">
        <v>0</v>
      </c>
      <c r="I9" s="3">
        <v>50</v>
      </c>
      <c r="J9" s="3">
        <v>1</v>
      </c>
      <c r="L9" s="3">
        <f t="shared" ca="1" si="2"/>
        <v>1571.1210000000001</v>
      </c>
      <c r="M9" s="3">
        <f t="shared" ca="1" si="0"/>
        <v>1572.2819999999999</v>
      </c>
      <c r="N9" s="3">
        <f t="shared" ca="1" si="0"/>
        <v>1571.71</v>
      </c>
      <c r="O9" s="3">
        <f t="shared" ca="1" si="0"/>
        <v>1571.36</v>
      </c>
      <c r="P9" s="3">
        <f t="shared" ca="1" si="0"/>
        <v>1571.71</v>
      </c>
      <c r="Q9" s="3">
        <f t="shared" ca="1" si="0"/>
        <v>1571.444</v>
      </c>
      <c r="R9" s="3">
        <f t="shared" ca="1" si="0"/>
        <v>1570.6990000000001</v>
      </c>
      <c r="S9" s="3">
        <f t="shared" ca="1" si="0"/>
        <v>1571.192</v>
      </c>
      <c r="T9" s="3">
        <f t="shared" ca="1" si="0"/>
        <v>1571.694</v>
      </c>
      <c r="U9" s="3">
        <f t="shared" ca="1" si="0"/>
        <v>1571.836</v>
      </c>
      <c r="W9" s="3">
        <f t="shared" ca="1" si="3"/>
        <v>1571.5047999999999</v>
      </c>
      <c r="Y9" s="3">
        <f ca="1">Total!E9</f>
        <v>1570.17</v>
      </c>
      <c r="AB9" s="3">
        <f t="shared" ca="1" si="1"/>
        <v>6.0566690230995487E-4</v>
      </c>
      <c r="AC9" s="3">
        <f t="shared" ca="1" si="1"/>
        <v>1.3450772846251378E-3</v>
      </c>
      <c r="AD9" s="3">
        <f t="shared" ca="1" si="1"/>
        <v>9.8078552003920817E-4</v>
      </c>
      <c r="AE9" s="3">
        <f t="shared" ca="1" si="1"/>
        <v>7.578797200302051E-4</v>
      </c>
      <c r="AF9" s="3">
        <f t="shared" ca="1" si="1"/>
        <v>9.8078552003920817E-4</v>
      </c>
      <c r="AG9" s="3">
        <f t="shared" ca="1" si="1"/>
        <v>8.1137711203238322E-4</v>
      </c>
      <c r="AH9" s="3">
        <f t="shared" ca="1" si="1"/>
        <v>3.3690619487061676E-4</v>
      </c>
      <c r="AI9" s="3">
        <f t="shared" ca="1" si="1"/>
        <v>6.508849360259937E-4</v>
      </c>
      <c r="AJ9" s="3">
        <f t="shared" ca="1" si="1"/>
        <v>9.7059554061018052E-4</v>
      </c>
      <c r="AK9" s="3">
        <f t="shared" ca="1" si="1"/>
        <v>1.0610316080424029E-3</v>
      </c>
      <c r="AM9" s="3">
        <f t="shared" ca="1" si="4"/>
        <v>8.5009903386252909E-3</v>
      </c>
    </row>
    <row r="10" spans="1:39" x14ac:dyDescent="0.25">
      <c r="A10" s="3" t="s">
        <v>2</v>
      </c>
      <c r="B10" s="3">
        <v>24</v>
      </c>
      <c r="C10" s="3">
        <v>1</v>
      </c>
      <c r="D10" s="3">
        <v>55970.561000000002</v>
      </c>
      <c r="E10" s="3">
        <v>1.2390000000000001</v>
      </c>
      <c r="F10" s="3">
        <v>190</v>
      </c>
      <c r="H10" s="3" t="s">
        <v>28</v>
      </c>
      <c r="I10" s="3">
        <v>100</v>
      </c>
      <c r="J10" s="3">
        <v>1</v>
      </c>
      <c r="L10" s="3">
        <f t="shared" ca="1" si="2"/>
        <v>3308.4459999999999</v>
      </c>
      <c r="M10" s="3">
        <f t="shared" ca="1" si="0"/>
        <v>3303.67</v>
      </c>
      <c r="N10" s="3">
        <f t="shared" ca="1" si="0"/>
        <v>3314.48</v>
      </c>
      <c r="O10" s="3">
        <f t="shared" ca="1" si="0"/>
        <v>3306.4659999999999</v>
      </c>
      <c r="P10" s="3">
        <f t="shared" ca="1" si="0"/>
        <v>3316.6729999999998</v>
      </c>
      <c r="Q10" s="3">
        <f t="shared" ca="1" si="0"/>
        <v>3321.0929999999998</v>
      </c>
      <c r="R10" s="3">
        <f t="shared" ca="1" si="0"/>
        <v>3321.6930000000002</v>
      </c>
      <c r="S10" s="3">
        <f t="shared" ca="1" si="0"/>
        <v>3319.5749999999998</v>
      </c>
      <c r="T10" s="3">
        <f t="shared" ca="1" si="0"/>
        <v>3305.6860000000001</v>
      </c>
      <c r="U10" s="3">
        <f t="shared" ca="1" si="0"/>
        <v>3336.596</v>
      </c>
      <c r="W10" s="3">
        <f t="shared" ca="1" si="3"/>
        <v>3315.4378000000006</v>
      </c>
      <c r="Y10" s="3">
        <f ca="1">Total!E10</f>
        <v>3290.5340000000001</v>
      </c>
      <c r="AB10" s="3">
        <f t="shared" ca="1" si="1"/>
        <v>5.443493366122279E-3</v>
      </c>
      <c r="AC10" s="3">
        <f t="shared" ca="1" si="1"/>
        <v>3.992057216245134E-3</v>
      </c>
      <c r="AD10" s="3">
        <f t="shared" ca="1" si="1"/>
        <v>7.2772382841204226E-3</v>
      </c>
      <c r="AE10" s="3">
        <f t="shared" ca="1" si="1"/>
        <v>4.8417673240877587E-3</v>
      </c>
      <c r="AF10" s="3">
        <f t="shared" ca="1" si="1"/>
        <v>7.9436954609797879E-3</v>
      </c>
      <c r="AG10" s="3">
        <f t="shared" ca="1" si="1"/>
        <v>9.2869424841073647E-3</v>
      </c>
      <c r="AH10" s="3">
        <f t="shared" ca="1" si="1"/>
        <v>9.4692837089664188E-3</v>
      </c>
      <c r="AI10" s="3">
        <f t="shared" ca="1" si="1"/>
        <v>8.8256191852142275E-3</v>
      </c>
      <c r="AJ10" s="3">
        <f t="shared" ca="1" si="1"/>
        <v>4.6047237317712085E-3</v>
      </c>
      <c r="AK10" s="3">
        <f t="shared" ca="1" si="1"/>
        <v>1.3998335832421089E-2</v>
      </c>
      <c r="AM10" s="3">
        <f t="shared" ca="1" si="4"/>
        <v>7.5683156594035683E-2</v>
      </c>
    </row>
    <row r="11" spans="1:39" x14ac:dyDescent="0.25">
      <c r="A11" s="3" t="s">
        <v>2</v>
      </c>
      <c r="B11" s="3">
        <v>47</v>
      </c>
      <c r="C11" s="3">
        <v>1</v>
      </c>
      <c r="D11" s="3">
        <v>126195.375</v>
      </c>
      <c r="E11" s="3">
        <v>4.1429999999999998</v>
      </c>
      <c r="F11" s="3">
        <v>188</v>
      </c>
    </row>
    <row r="12" spans="1:39" x14ac:dyDescent="0.25">
      <c r="A12" s="3" t="s">
        <v>2</v>
      </c>
      <c r="B12" s="3">
        <v>47</v>
      </c>
      <c r="C12" s="3">
        <v>1</v>
      </c>
      <c r="D12" s="3">
        <v>126262.88099999999</v>
      </c>
      <c r="E12" s="3">
        <v>4.1399999999999997</v>
      </c>
      <c r="F12" s="3">
        <v>192</v>
      </c>
    </row>
    <row r="13" spans="1:39" x14ac:dyDescent="0.25">
      <c r="A13" s="3" t="s">
        <v>2</v>
      </c>
      <c r="B13" s="3">
        <v>47</v>
      </c>
      <c r="C13" s="3">
        <v>1</v>
      </c>
      <c r="D13" s="3">
        <v>126226.78200000001</v>
      </c>
      <c r="E13" s="3">
        <v>4.1420000000000003</v>
      </c>
      <c r="F13" s="3">
        <v>195</v>
      </c>
    </row>
    <row r="14" spans="1:39" x14ac:dyDescent="0.25">
      <c r="A14" s="3" t="s">
        <v>2</v>
      </c>
      <c r="B14" s="3">
        <v>47</v>
      </c>
      <c r="C14" s="3">
        <v>1</v>
      </c>
      <c r="D14" s="3">
        <v>126296.40700000001</v>
      </c>
      <c r="E14" s="3">
        <v>4.1500000000000004</v>
      </c>
      <c r="F14" s="3">
        <v>196</v>
      </c>
    </row>
    <row r="15" spans="1:39" x14ac:dyDescent="0.25">
      <c r="A15" s="3" t="s">
        <v>2</v>
      </c>
      <c r="B15" s="3">
        <v>47</v>
      </c>
      <c r="C15" s="3">
        <v>1</v>
      </c>
      <c r="D15" s="3">
        <v>126476.11900000001</v>
      </c>
      <c r="E15" s="3">
        <v>4.1539999999999999</v>
      </c>
      <c r="F15" s="3">
        <v>193</v>
      </c>
    </row>
    <row r="16" spans="1:39" x14ac:dyDescent="0.25">
      <c r="A16" s="3" t="s">
        <v>2</v>
      </c>
      <c r="B16" s="3">
        <v>47</v>
      </c>
      <c r="C16" s="3">
        <v>1</v>
      </c>
      <c r="D16" s="3">
        <v>126161.804</v>
      </c>
      <c r="E16" s="3">
        <v>4.1479999999999997</v>
      </c>
      <c r="F16" s="3">
        <v>196</v>
      </c>
    </row>
    <row r="17" spans="1:6" x14ac:dyDescent="0.25">
      <c r="A17" s="3" t="s">
        <v>2</v>
      </c>
      <c r="B17" s="3">
        <v>47</v>
      </c>
      <c r="C17" s="3">
        <v>1</v>
      </c>
      <c r="D17" s="3">
        <v>126174.743</v>
      </c>
      <c r="E17" s="3">
        <v>4.149</v>
      </c>
      <c r="F17" s="3">
        <v>194</v>
      </c>
    </row>
    <row r="18" spans="1:6" x14ac:dyDescent="0.25">
      <c r="A18" s="3" t="s">
        <v>2</v>
      </c>
      <c r="B18" s="3">
        <v>47</v>
      </c>
      <c r="C18" s="3">
        <v>1</v>
      </c>
      <c r="D18" s="3">
        <v>126186.788</v>
      </c>
      <c r="E18" s="3">
        <v>4.1529999999999996</v>
      </c>
      <c r="F18" s="3">
        <v>193</v>
      </c>
    </row>
    <row r="19" spans="1:6" x14ac:dyDescent="0.25">
      <c r="A19" s="3" t="s">
        <v>2</v>
      </c>
      <c r="B19" s="3">
        <v>47</v>
      </c>
      <c r="C19" s="3">
        <v>1</v>
      </c>
      <c r="D19" s="3">
        <v>126303.74</v>
      </c>
      <c r="E19" s="3">
        <v>4.1429999999999998</v>
      </c>
      <c r="F19" s="3">
        <v>192</v>
      </c>
    </row>
    <row r="20" spans="1:6" x14ac:dyDescent="0.25">
      <c r="A20" s="3" t="s">
        <v>2</v>
      </c>
      <c r="B20" s="3">
        <v>47</v>
      </c>
      <c r="C20" s="3">
        <v>1</v>
      </c>
      <c r="D20" s="3">
        <v>126446.73</v>
      </c>
      <c r="E20" s="3">
        <v>4.1440000000000001</v>
      </c>
      <c r="F20" s="3">
        <v>191</v>
      </c>
    </row>
    <row r="21" spans="1:6" x14ac:dyDescent="0.25">
      <c r="A21" s="3" t="s">
        <v>2</v>
      </c>
      <c r="B21" s="3">
        <v>100</v>
      </c>
      <c r="C21" s="3">
        <v>1</v>
      </c>
      <c r="D21" s="3">
        <v>1217486.0630000001</v>
      </c>
      <c r="E21" s="3">
        <v>22.068000000000001</v>
      </c>
      <c r="F21" s="3">
        <v>197</v>
      </c>
    </row>
    <row r="22" spans="1:6" x14ac:dyDescent="0.25">
      <c r="A22" s="3" t="s">
        <v>2</v>
      </c>
      <c r="B22" s="3">
        <v>100</v>
      </c>
      <c r="C22" s="3">
        <v>1</v>
      </c>
      <c r="D22" s="3">
        <v>1216994.524</v>
      </c>
      <c r="E22" s="3">
        <v>22.064</v>
      </c>
      <c r="F22" s="3">
        <v>197</v>
      </c>
    </row>
    <row r="23" spans="1:6" x14ac:dyDescent="0.25">
      <c r="A23" s="3" t="s">
        <v>2</v>
      </c>
      <c r="B23" s="3">
        <v>100</v>
      </c>
      <c r="C23" s="3">
        <v>1</v>
      </c>
      <c r="D23" s="3">
        <v>1217035.9410000001</v>
      </c>
      <c r="E23" s="3">
        <v>22.113</v>
      </c>
      <c r="F23" s="3">
        <v>199</v>
      </c>
    </row>
    <row r="24" spans="1:6" x14ac:dyDescent="0.25">
      <c r="A24" s="3" t="s">
        <v>2</v>
      </c>
      <c r="B24" s="3">
        <v>100</v>
      </c>
      <c r="C24" s="3">
        <v>1</v>
      </c>
      <c r="D24" s="3">
        <v>1216949.5390000001</v>
      </c>
      <c r="E24" s="3">
        <v>22.067</v>
      </c>
      <c r="F24" s="3">
        <v>198</v>
      </c>
    </row>
    <row r="25" spans="1:6" x14ac:dyDescent="0.25">
      <c r="A25" s="3" t="s">
        <v>2</v>
      </c>
      <c r="B25" s="3">
        <v>100</v>
      </c>
      <c r="C25" s="3">
        <v>1</v>
      </c>
      <c r="D25" s="3">
        <v>1216993.5519999999</v>
      </c>
      <c r="E25" s="3">
        <v>22.123999999999999</v>
      </c>
      <c r="F25" s="3">
        <v>199</v>
      </c>
    </row>
    <row r="26" spans="1:6" x14ac:dyDescent="0.25">
      <c r="A26" s="3" t="s">
        <v>2</v>
      </c>
      <c r="B26" s="3">
        <v>100</v>
      </c>
      <c r="C26" s="3">
        <v>1</v>
      </c>
      <c r="D26" s="3">
        <v>1216655.365</v>
      </c>
      <c r="E26" s="3">
        <v>22.117999999999999</v>
      </c>
      <c r="F26" s="3">
        <v>201</v>
      </c>
    </row>
    <row r="27" spans="1:6" x14ac:dyDescent="0.25">
      <c r="A27" s="3" t="s">
        <v>2</v>
      </c>
      <c r="B27" s="3">
        <v>100</v>
      </c>
      <c r="C27" s="3">
        <v>1</v>
      </c>
      <c r="D27" s="3">
        <v>1217133.0179999999</v>
      </c>
      <c r="E27" s="3">
        <v>22.106000000000002</v>
      </c>
      <c r="F27" s="3">
        <v>198</v>
      </c>
    </row>
    <row r="28" spans="1:6" x14ac:dyDescent="0.25">
      <c r="A28" s="3" t="s">
        <v>2</v>
      </c>
      <c r="B28" s="3">
        <v>100</v>
      </c>
      <c r="C28" s="3">
        <v>1</v>
      </c>
      <c r="D28" s="3">
        <v>1217362.7960000001</v>
      </c>
      <c r="E28" s="3">
        <v>22.074000000000002</v>
      </c>
      <c r="F28" s="3">
        <v>201</v>
      </c>
    </row>
    <row r="29" spans="1:6" x14ac:dyDescent="0.25">
      <c r="A29" s="3" t="s">
        <v>2</v>
      </c>
      <c r="B29" s="3">
        <v>100</v>
      </c>
      <c r="C29" s="3">
        <v>1</v>
      </c>
      <c r="D29" s="3">
        <v>1217970.3030000001</v>
      </c>
      <c r="E29" s="3">
        <v>22.065000000000001</v>
      </c>
      <c r="F29" s="3">
        <v>197</v>
      </c>
    </row>
    <row r="30" spans="1:6" x14ac:dyDescent="0.25">
      <c r="A30" s="3" t="s">
        <v>2</v>
      </c>
      <c r="B30" s="3">
        <v>100</v>
      </c>
      <c r="C30" s="3">
        <v>1</v>
      </c>
      <c r="D30" s="3">
        <v>1217098.747</v>
      </c>
      <c r="E30" s="3">
        <v>22.059000000000001</v>
      </c>
      <c r="F30" s="3">
        <v>198</v>
      </c>
    </row>
    <row r="31" spans="1:6" x14ac:dyDescent="0.25">
      <c r="A31" s="3" t="s">
        <v>1</v>
      </c>
      <c r="B31" s="3">
        <v>30</v>
      </c>
      <c r="C31" s="3">
        <v>1</v>
      </c>
      <c r="D31" s="3">
        <v>19983.687000000002</v>
      </c>
      <c r="E31" s="3">
        <v>1.35</v>
      </c>
      <c r="F31" s="3">
        <v>140</v>
      </c>
    </row>
    <row r="32" spans="1:6" x14ac:dyDescent="0.25">
      <c r="A32" s="3" t="s">
        <v>1</v>
      </c>
      <c r="B32" s="3">
        <v>30</v>
      </c>
      <c r="C32" s="3">
        <v>1</v>
      </c>
      <c r="D32" s="3">
        <v>20002.977999999999</v>
      </c>
      <c r="E32" s="3">
        <v>1.351</v>
      </c>
      <c r="F32" s="3">
        <v>131</v>
      </c>
    </row>
    <row r="33" spans="1:6" x14ac:dyDescent="0.25">
      <c r="A33" s="3" t="s">
        <v>1</v>
      </c>
      <c r="B33" s="3">
        <v>30</v>
      </c>
      <c r="C33" s="3">
        <v>1</v>
      </c>
      <c r="D33" s="3">
        <v>20017.634999999998</v>
      </c>
      <c r="E33" s="3">
        <v>1.347</v>
      </c>
      <c r="F33" s="3">
        <v>147</v>
      </c>
    </row>
    <row r="34" spans="1:6" x14ac:dyDescent="0.25">
      <c r="A34" s="3" t="s">
        <v>1</v>
      </c>
      <c r="B34" s="3">
        <v>30</v>
      </c>
      <c r="C34" s="3">
        <v>1</v>
      </c>
      <c r="D34" s="3">
        <v>19982.663</v>
      </c>
      <c r="E34" s="3">
        <v>1.347</v>
      </c>
      <c r="F34" s="3">
        <v>143</v>
      </c>
    </row>
    <row r="35" spans="1:6" x14ac:dyDescent="0.25">
      <c r="A35" s="3" t="s">
        <v>1</v>
      </c>
      <c r="B35" s="3">
        <v>30</v>
      </c>
      <c r="C35" s="3">
        <v>1</v>
      </c>
      <c r="D35" s="3">
        <v>19997.285</v>
      </c>
      <c r="E35" s="3">
        <v>1.347</v>
      </c>
      <c r="F35" s="3">
        <v>134</v>
      </c>
    </row>
    <row r="36" spans="1:6" x14ac:dyDescent="0.25">
      <c r="A36" s="3" t="s">
        <v>1</v>
      </c>
      <c r="B36" s="3">
        <v>30</v>
      </c>
      <c r="C36" s="3">
        <v>1</v>
      </c>
      <c r="D36" s="3">
        <v>20070.427</v>
      </c>
      <c r="E36" s="3">
        <v>1.3720000000000001</v>
      </c>
      <c r="F36" s="3">
        <v>126</v>
      </c>
    </row>
    <row r="37" spans="1:6" x14ac:dyDescent="0.25">
      <c r="A37" s="3" t="s">
        <v>1</v>
      </c>
      <c r="B37" s="3">
        <v>30</v>
      </c>
      <c r="C37" s="3">
        <v>1</v>
      </c>
      <c r="D37" s="3">
        <v>19996.523000000001</v>
      </c>
      <c r="E37" s="3">
        <v>1.3460000000000001</v>
      </c>
      <c r="F37" s="3">
        <v>147</v>
      </c>
    </row>
    <row r="38" spans="1:6" x14ac:dyDescent="0.25">
      <c r="A38" s="3" t="s">
        <v>1</v>
      </c>
      <c r="B38" s="3">
        <v>30</v>
      </c>
      <c r="C38" s="3">
        <v>1</v>
      </c>
      <c r="D38" s="3">
        <v>20020.38</v>
      </c>
      <c r="E38" s="3">
        <v>1.3520000000000001</v>
      </c>
      <c r="F38" s="3">
        <v>136</v>
      </c>
    </row>
    <row r="39" spans="1:6" x14ac:dyDescent="0.25">
      <c r="A39" s="3" t="s">
        <v>1</v>
      </c>
      <c r="B39" s="3">
        <v>30</v>
      </c>
      <c r="C39" s="3">
        <v>1</v>
      </c>
      <c r="D39" s="3">
        <v>20066.883999999998</v>
      </c>
      <c r="E39" s="3">
        <v>1.347</v>
      </c>
      <c r="F39" s="3">
        <v>120</v>
      </c>
    </row>
    <row r="40" spans="1:6" x14ac:dyDescent="0.25">
      <c r="A40" s="3" t="s">
        <v>1</v>
      </c>
      <c r="B40" s="3">
        <v>30</v>
      </c>
      <c r="C40" s="3">
        <v>1</v>
      </c>
      <c r="D40" s="3">
        <v>20015.662</v>
      </c>
      <c r="E40" s="3">
        <v>1.349</v>
      </c>
      <c r="F40" s="3">
        <v>148</v>
      </c>
    </row>
    <row r="41" spans="1:6" x14ac:dyDescent="0.25">
      <c r="A41" s="3" t="s">
        <v>1</v>
      </c>
      <c r="B41" s="3">
        <v>50</v>
      </c>
      <c r="C41" s="3">
        <v>1</v>
      </c>
      <c r="D41" s="3">
        <v>35310.231</v>
      </c>
      <c r="E41" s="3">
        <v>3.0430000000000001</v>
      </c>
      <c r="F41" s="3">
        <v>121</v>
      </c>
    </row>
    <row r="42" spans="1:6" x14ac:dyDescent="0.25">
      <c r="A42" s="3" t="s">
        <v>1</v>
      </c>
      <c r="B42" s="3">
        <v>50</v>
      </c>
      <c r="C42" s="3">
        <v>1</v>
      </c>
      <c r="D42" s="3">
        <v>35330.203999999998</v>
      </c>
      <c r="E42" s="3">
        <v>3.0419999999999998</v>
      </c>
      <c r="F42" s="3">
        <v>118</v>
      </c>
    </row>
    <row r="43" spans="1:6" x14ac:dyDescent="0.25">
      <c r="A43" s="3" t="s">
        <v>1</v>
      </c>
      <c r="B43" s="3">
        <v>50</v>
      </c>
      <c r="C43" s="3">
        <v>1</v>
      </c>
      <c r="D43" s="3">
        <v>35343.934999999998</v>
      </c>
      <c r="E43" s="3">
        <v>3.044</v>
      </c>
      <c r="F43" s="3">
        <v>122</v>
      </c>
    </row>
    <row r="44" spans="1:6" x14ac:dyDescent="0.25">
      <c r="A44" s="3" t="s">
        <v>1</v>
      </c>
      <c r="B44" s="3">
        <v>50</v>
      </c>
      <c r="C44" s="3">
        <v>1</v>
      </c>
      <c r="D44" s="3">
        <v>35287.519999999997</v>
      </c>
      <c r="E44" s="3">
        <v>3.0459999999999998</v>
      </c>
      <c r="F44" s="3">
        <v>121</v>
      </c>
    </row>
    <row r="45" spans="1:6" x14ac:dyDescent="0.25">
      <c r="A45" s="3" t="s">
        <v>1</v>
      </c>
      <c r="B45" s="3">
        <v>50</v>
      </c>
      <c r="C45" s="3">
        <v>1</v>
      </c>
      <c r="D45" s="3">
        <v>35335.894999999997</v>
      </c>
      <c r="E45" s="3">
        <v>3.044</v>
      </c>
      <c r="F45" s="3">
        <v>125</v>
      </c>
    </row>
    <row r="46" spans="1:6" x14ac:dyDescent="0.25">
      <c r="A46" s="3" t="s">
        <v>1</v>
      </c>
      <c r="B46" s="3">
        <v>50</v>
      </c>
      <c r="C46" s="3">
        <v>1</v>
      </c>
      <c r="D46" s="3">
        <v>35291.646000000001</v>
      </c>
      <c r="E46" s="3">
        <v>3.04</v>
      </c>
      <c r="F46" s="3">
        <v>116</v>
      </c>
    </row>
    <row r="47" spans="1:6" x14ac:dyDescent="0.25">
      <c r="A47" s="3" t="s">
        <v>1</v>
      </c>
      <c r="B47" s="3">
        <v>50</v>
      </c>
      <c r="C47" s="3">
        <v>1</v>
      </c>
      <c r="D47" s="3">
        <v>35310.644</v>
      </c>
      <c r="E47" s="3">
        <v>3.0430000000000001</v>
      </c>
      <c r="F47" s="3">
        <v>118</v>
      </c>
    </row>
    <row r="48" spans="1:6" x14ac:dyDescent="0.25">
      <c r="A48" s="3" t="s">
        <v>1</v>
      </c>
      <c r="B48" s="3">
        <v>50</v>
      </c>
      <c r="C48" s="3">
        <v>1</v>
      </c>
      <c r="D48" s="3">
        <v>35323.216999999997</v>
      </c>
      <c r="E48" s="3">
        <v>3.0459999999999998</v>
      </c>
      <c r="F48" s="3">
        <v>121</v>
      </c>
    </row>
    <row r="49" spans="1:6" x14ac:dyDescent="0.25">
      <c r="A49" s="3" t="s">
        <v>1</v>
      </c>
      <c r="B49" s="3">
        <v>50</v>
      </c>
      <c r="C49" s="3">
        <v>1</v>
      </c>
      <c r="D49" s="3">
        <v>35389.091</v>
      </c>
      <c r="E49" s="3">
        <v>3.0409999999999999</v>
      </c>
      <c r="F49" s="3">
        <v>120</v>
      </c>
    </row>
    <row r="50" spans="1:6" x14ac:dyDescent="0.25">
      <c r="A50" s="3" t="s">
        <v>1</v>
      </c>
      <c r="B50" s="3">
        <v>50</v>
      </c>
      <c r="C50" s="3">
        <v>1</v>
      </c>
      <c r="D50" s="3">
        <v>35358.993000000002</v>
      </c>
      <c r="E50" s="3">
        <v>3.0339999999999998</v>
      </c>
      <c r="F50" s="3">
        <v>118</v>
      </c>
    </row>
    <row r="51" spans="1:6" x14ac:dyDescent="0.25">
      <c r="A51" s="3" t="s">
        <v>1</v>
      </c>
      <c r="B51" s="3">
        <v>100</v>
      </c>
      <c r="C51" s="3">
        <v>1</v>
      </c>
      <c r="D51" s="3">
        <v>63173.870999999999</v>
      </c>
      <c r="E51" s="3">
        <v>11.744</v>
      </c>
      <c r="F51" s="3">
        <v>107</v>
      </c>
    </row>
    <row r="52" spans="1:6" x14ac:dyDescent="0.25">
      <c r="A52" s="3" t="s">
        <v>1</v>
      </c>
      <c r="B52" s="3">
        <v>100</v>
      </c>
      <c r="C52" s="3">
        <v>1</v>
      </c>
      <c r="D52" s="3">
        <v>63123.540999999997</v>
      </c>
      <c r="E52" s="3">
        <v>11.721</v>
      </c>
      <c r="F52" s="3">
        <v>108</v>
      </c>
    </row>
    <row r="53" spans="1:6" x14ac:dyDescent="0.25">
      <c r="A53" s="3" t="s">
        <v>1</v>
      </c>
      <c r="B53" s="3">
        <v>100</v>
      </c>
      <c r="C53" s="3">
        <v>1</v>
      </c>
      <c r="D53" s="3">
        <v>63190.374000000003</v>
      </c>
      <c r="E53" s="3">
        <v>11.676</v>
      </c>
      <c r="F53" s="3">
        <v>105</v>
      </c>
    </row>
    <row r="54" spans="1:6" x14ac:dyDescent="0.25">
      <c r="A54" s="3" t="s">
        <v>1</v>
      </c>
      <c r="B54" s="3">
        <v>100</v>
      </c>
      <c r="C54" s="3">
        <v>1</v>
      </c>
      <c r="D54" s="3">
        <v>63231.796999999999</v>
      </c>
      <c r="E54" s="3">
        <v>11.739000000000001</v>
      </c>
      <c r="F54" s="3">
        <v>107</v>
      </c>
    </row>
    <row r="55" spans="1:6" x14ac:dyDescent="0.25">
      <c r="A55" s="3" t="s">
        <v>1</v>
      </c>
      <c r="B55" s="3">
        <v>100</v>
      </c>
      <c r="C55" s="3">
        <v>1</v>
      </c>
      <c r="D55" s="3">
        <v>63188.938999999998</v>
      </c>
      <c r="E55" s="3">
        <v>11.718999999999999</v>
      </c>
      <c r="F55" s="3">
        <v>106</v>
      </c>
    </row>
    <row r="56" spans="1:6" x14ac:dyDescent="0.25">
      <c r="A56" s="3" t="s">
        <v>1</v>
      </c>
      <c r="B56" s="3">
        <v>100</v>
      </c>
      <c r="C56" s="3">
        <v>1</v>
      </c>
      <c r="D56" s="3">
        <v>63163.96</v>
      </c>
      <c r="E56" s="3">
        <v>11.718999999999999</v>
      </c>
      <c r="F56" s="3">
        <v>107</v>
      </c>
    </row>
    <row r="57" spans="1:6" x14ac:dyDescent="0.25">
      <c r="A57" s="3" t="s">
        <v>1</v>
      </c>
      <c r="B57" s="3">
        <v>100</v>
      </c>
      <c r="C57" s="3">
        <v>1</v>
      </c>
      <c r="D57" s="3">
        <v>63139.368999999999</v>
      </c>
      <c r="E57" s="3">
        <v>11.685</v>
      </c>
      <c r="F57" s="3">
        <v>105</v>
      </c>
    </row>
    <row r="58" spans="1:6" x14ac:dyDescent="0.25">
      <c r="A58" s="3" t="s">
        <v>1</v>
      </c>
      <c r="B58" s="3">
        <v>100</v>
      </c>
      <c r="C58" s="3">
        <v>1</v>
      </c>
      <c r="D58" s="3">
        <v>63097.625</v>
      </c>
      <c r="E58" s="3">
        <v>11.711</v>
      </c>
      <c r="F58" s="3">
        <v>107</v>
      </c>
    </row>
    <row r="59" spans="1:6" x14ac:dyDescent="0.25">
      <c r="A59" s="3" t="s">
        <v>1</v>
      </c>
      <c r="B59" s="3">
        <v>100</v>
      </c>
      <c r="C59" s="3">
        <v>1</v>
      </c>
      <c r="D59" s="3">
        <v>63105.553</v>
      </c>
      <c r="E59" s="3">
        <v>11.675000000000001</v>
      </c>
      <c r="F59" s="3">
        <v>105</v>
      </c>
    </row>
    <row r="60" spans="1:6" x14ac:dyDescent="0.25">
      <c r="A60" s="3" t="s">
        <v>1</v>
      </c>
      <c r="B60" s="3">
        <v>100</v>
      </c>
      <c r="C60" s="3">
        <v>1</v>
      </c>
      <c r="D60" s="3">
        <v>63119.684999999998</v>
      </c>
      <c r="E60" s="3">
        <v>11.704000000000001</v>
      </c>
      <c r="F60" s="3">
        <v>107</v>
      </c>
    </row>
    <row r="61" spans="1:6" x14ac:dyDescent="0.25">
      <c r="A61" s="3" t="s">
        <v>0</v>
      </c>
      <c r="B61" s="3">
        <v>25</v>
      </c>
      <c r="C61" s="3">
        <v>1</v>
      </c>
      <c r="D61" s="3">
        <v>723.74699999999996</v>
      </c>
      <c r="E61" s="3">
        <v>0.90500000000000003</v>
      </c>
      <c r="F61" s="3">
        <v>118</v>
      </c>
    </row>
    <row r="62" spans="1:6" x14ac:dyDescent="0.25">
      <c r="A62" s="3" t="s">
        <v>0</v>
      </c>
      <c r="B62" s="3">
        <v>25</v>
      </c>
      <c r="C62" s="3">
        <v>1</v>
      </c>
      <c r="D62" s="3">
        <v>723.54300000000001</v>
      </c>
      <c r="E62" s="3">
        <v>0.90300000000000002</v>
      </c>
      <c r="F62" s="3">
        <v>142</v>
      </c>
    </row>
    <row r="63" spans="1:6" x14ac:dyDescent="0.25">
      <c r="A63" s="3" t="s">
        <v>0</v>
      </c>
      <c r="B63" s="3">
        <v>25</v>
      </c>
      <c r="C63" s="3">
        <v>1</v>
      </c>
      <c r="D63" s="3">
        <v>723.64300000000003</v>
      </c>
      <c r="E63" s="3">
        <v>0.90400000000000003</v>
      </c>
      <c r="F63" s="3">
        <v>112</v>
      </c>
    </row>
    <row r="64" spans="1:6" x14ac:dyDescent="0.25">
      <c r="A64" s="3" t="s">
        <v>0</v>
      </c>
      <c r="B64" s="3">
        <v>25</v>
      </c>
      <c r="C64" s="3">
        <v>1</v>
      </c>
      <c r="D64" s="3">
        <v>722.96500000000003</v>
      </c>
      <c r="E64" s="3">
        <v>0.90200000000000002</v>
      </c>
      <c r="F64" s="3">
        <v>140</v>
      </c>
    </row>
    <row r="65" spans="1:6" x14ac:dyDescent="0.25">
      <c r="A65" s="3" t="s">
        <v>0</v>
      </c>
      <c r="B65" s="3">
        <v>25</v>
      </c>
      <c r="C65" s="3">
        <v>1</v>
      </c>
      <c r="D65" s="3">
        <v>723.03399999999999</v>
      </c>
      <c r="E65" s="3">
        <v>0.90500000000000003</v>
      </c>
      <c r="F65" s="3">
        <v>133</v>
      </c>
    </row>
    <row r="66" spans="1:6" x14ac:dyDescent="0.25">
      <c r="A66" s="3" t="s">
        <v>0</v>
      </c>
      <c r="B66" s="3">
        <v>25</v>
      </c>
      <c r="C66" s="3">
        <v>1</v>
      </c>
      <c r="D66" s="3">
        <v>724.07600000000002</v>
      </c>
      <c r="E66" s="3">
        <v>0.90200000000000002</v>
      </c>
      <c r="F66" s="3">
        <v>144</v>
      </c>
    </row>
    <row r="67" spans="1:6" x14ac:dyDescent="0.25">
      <c r="A67" s="3" t="s">
        <v>0</v>
      </c>
      <c r="B67" s="3">
        <v>25</v>
      </c>
      <c r="C67" s="3">
        <v>1</v>
      </c>
      <c r="D67" s="3">
        <v>723.41399999999999</v>
      </c>
      <c r="E67" s="3">
        <v>0.90400000000000003</v>
      </c>
      <c r="F67" s="3">
        <v>117</v>
      </c>
    </row>
    <row r="68" spans="1:6" x14ac:dyDescent="0.25">
      <c r="A68" s="3" t="s">
        <v>0</v>
      </c>
      <c r="B68" s="3">
        <v>25</v>
      </c>
      <c r="C68" s="3">
        <v>1</v>
      </c>
      <c r="D68" s="3">
        <v>723.54399999999998</v>
      </c>
      <c r="E68" s="3">
        <v>0.90600000000000003</v>
      </c>
      <c r="F68" s="3">
        <v>144</v>
      </c>
    </row>
    <row r="69" spans="1:6" x14ac:dyDescent="0.25">
      <c r="A69" s="3" t="s">
        <v>0</v>
      </c>
      <c r="B69" s="3">
        <v>25</v>
      </c>
      <c r="C69" s="3">
        <v>1</v>
      </c>
      <c r="D69" s="3">
        <v>723.82899999999995</v>
      </c>
      <c r="E69" s="3">
        <v>0.90400000000000003</v>
      </c>
      <c r="F69" s="3">
        <v>121</v>
      </c>
    </row>
    <row r="70" spans="1:6" x14ac:dyDescent="0.25">
      <c r="A70" s="3" t="s">
        <v>0</v>
      </c>
      <c r="B70" s="3">
        <v>25</v>
      </c>
      <c r="C70" s="3">
        <v>1</v>
      </c>
      <c r="D70" s="3">
        <v>723.10299999999995</v>
      </c>
      <c r="E70" s="3">
        <v>0.90400000000000003</v>
      </c>
      <c r="F70" s="3">
        <v>139</v>
      </c>
    </row>
    <row r="71" spans="1:6" x14ac:dyDescent="0.25">
      <c r="A71" s="3" t="s">
        <v>0</v>
      </c>
      <c r="B71" s="3">
        <v>50</v>
      </c>
      <c r="C71" s="3">
        <v>1</v>
      </c>
      <c r="D71" s="3">
        <v>1571.1210000000001</v>
      </c>
      <c r="E71" s="3">
        <v>3.3690000000000002</v>
      </c>
      <c r="F71" s="3">
        <v>139</v>
      </c>
    </row>
    <row r="72" spans="1:6" x14ac:dyDescent="0.25">
      <c r="A72" s="3" t="s">
        <v>0</v>
      </c>
      <c r="B72" s="3">
        <v>50</v>
      </c>
      <c r="C72" s="3">
        <v>1</v>
      </c>
      <c r="D72" s="3">
        <v>1572.2819999999999</v>
      </c>
      <c r="E72" s="3">
        <v>3.3769999999999998</v>
      </c>
      <c r="F72" s="3">
        <v>132</v>
      </c>
    </row>
    <row r="73" spans="1:6" x14ac:dyDescent="0.25">
      <c r="A73" s="3" t="s">
        <v>0</v>
      </c>
      <c r="B73" s="3">
        <v>50</v>
      </c>
      <c r="C73" s="3">
        <v>1</v>
      </c>
      <c r="D73" s="3">
        <v>1571.71</v>
      </c>
      <c r="E73" s="3">
        <v>3.3719999999999999</v>
      </c>
      <c r="F73" s="3">
        <v>135</v>
      </c>
    </row>
    <row r="74" spans="1:6" x14ac:dyDescent="0.25">
      <c r="A74" s="3" t="s">
        <v>0</v>
      </c>
      <c r="B74" s="3">
        <v>50</v>
      </c>
      <c r="C74" s="3">
        <v>1</v>
      </c>
      <c r="D74" s="3">
        <v>1571.36</v>
      </c>
      <c r="E74" s="3">
        <v>3.4079999999999999</v>
      </c>
      <c r="F74" s="3">
        <v>137</v>
      </c>
    </row>
    <row r="75" spans="1:6" x14ac:dyDescent="0.25">
      <c r="A75" s="3" t="s">
        <v>0</v>
      </c>
      <c r="B75" s="3">
        <v>50</v>
      </c>
      <c r="C75" s="3">
        <v>1</v>
      </c>
      <c r="D75" s="3">
        <v>1571.71</v>
      </c>
      <c r="E75" s="3">
        <v>3.3719999999999999</v>
      </c>
      <c r="F75" s="3">
        <v>139</v>
      </c>
    </row>
    <row r="76" spans="1:6" x14ac:dyDescent="0.25">
      <c r="A76" s="3" t="s">
        <v>0</v>
      </c>
      <c r="B76" s="3">
        <v>50</v>
      </c>
      <c r="C76" s="3">
        <v>1</v>
      </c>
      <c r="D76" s="3">
        <v>1571.444</v>
      </c>
      <c r="E76" s="3">
        <v>3.371</v>
      </c>
      <c r="F76" s="3">
        <v>135</v>
      </c>
    </row>
    <row r="77" spans="1:6" x14ac:dyDescent="0.25">
      <c r="A77" s="3" t="s">
        <v>0</v>
      </c>
      <c r="B77" s="3">
        <v>50</v>
      </c>
      <c r="C77" s="3">
        <v>1</v>
      </c>
      <c r="D77" s="3">
        <v>1570.6990000000001</v>
      </c>
      <c r="E77" s="3">
        <v>3.367</v>
      </c>
      <c r="F77" s="3">
        <v>136</v>
      </c>
    </row>
    <row r="78" spans="1:6" x14ac:dyDescent="0.25">
      <c r="A78" s="3" t="s">
        <v>0</v>
      </c>
      <c r="B78" s="3">
        <v>50</v>
      </c>
      <c r="C78" s="3">
        <v>1</v>
      </c>
      <c r="D78" s="3">
        <v>1571.192</v>
      </c>
      <c r="E78" s="3">
        <v>3.3730000000000002</v>
      </c>
      <c r="F78" s="3">
        <v>137</v>
      </c>
    </row>
    <row r="79" spans="1:6" x14ac:dyDescent="0.25">
      <c r="A79" s="3" t="s">
        <v>0</v>
      </c>
      <c r="B79" s="3">
        <v>50</v>
      </c>
      <c r="C79" s="3">
        <v>1</v>
      </c>
      <c r="D79" s="3">
        <v>1571.694</v>
      </c>
      <c r="E79" s="3">
        <v>3.371</v>
      </c>
      <c r="F79" s="3">
        <v>132</v>
      </c>
    </row>
    <row r="80" spans="1:6" x14ac:dyDescent="0.25">
      <c r="A80" s="3" t="s">
        <v>0</v>
      </c>
      <c r="B80" s="3">
        <v>50</v>
      </c>
      <c r="C80" s="3">
        <v>1</v>
      </c>
      <c r="D80" s="3">
        <v>1571.836</v>
      </c>
      <c r="E80" s="3">
        <v>3.3820000000000001</v>
      </c>
      <c r="F80" s="3">
        <v>136</v>
      </c>
    </row>
    <row r="81" spans="1:6" x14ac:dyDescent="0.25">
      <c r="A81" s="3" t="s">
        <v>0</v>
      </c>
      <c r="B81" s="3">
        <v>100</v>
      </c>
      <c r="C81" s="3">
        <v>1</v>
      </c>
      <c r="D81" s="3">
        <v>3308.4459999999999</v>
      </c>
      <c r="E81" s="3">
        <v>11.382999999999999</v>
      </c>
      <c r="F81" s="3">
        <v>102</v>
      </c>
    </row>
    <row r="82" spans="1:6" x14ac:dyDescent="0.25">
      <c r="A82" s="3" t="s">
        <v>0</v>
      </c>
      <c r="B82" s="3">
        <v>100</v>
      </c>
      <c r="C82" s="3">
        <v>1</v>
      </c>
      <c r="D82" s="3">
        <v>3303.67</v>
      </c>
      <c r="E82" s="3">
        <v>11.404</v>
      </c>
      <c r="F82" s="3">
        <v>102</v>
      </c>
    </row>
    <row r="83" spans="1:6" x14ac:dyDescent="0.25">
      <c r="A83" s="3" t="s">
        <v>0</v>
      </c>
      <c r="B83" s="3">
        <v>100</v>
      </c>
      <c r="C83" s="3">
        <v>1</v>
      </c>
      <c r="D83" s="3">
        <v>3314.48</v>
      </c>
      <c r="E83" s="3">
        <v>11.367000000000001</v>
      </c>
      <c r="F83" s="3">
        <v>102</v>
      </c>
    </row>
    <row r="84" spans="1:6" x14ac:dyDescent="0.25">
      <c r="A84" s="3" t="s">
        <v>0</v>
      </c>
      <c r="B84" s="3">
        <v>100</v>
      </c>
      <c r="C84" s="3">
        <v>1</v>
      </c>
      <c r="D84" s="3">
        <v>3306.4659999999999</v>
      </c>
      <c r="E84" s="3">
        <v>11.346</v>
      </c>
      <c r="F84" s="3">
        <v>104</v>
      </c>
    </row>
    <row r="85" spans="1:6" x14ac:dyDescent="0.25">
      <c r="A85" s="3" t="s">
        <v>0</v>
      </c>
      <c r="B85" s="3">
        <v>100</v>
      </c>
      <c r="C85" s="3">
        <v>1</v>
      </c>
      <c r="D85" s="3">
        <v>3316.6729999999998</v>
      </c>
      <c r="E85" s="3">
        <v>11.356</v>
      </c>
      <c r="F85" s="3">
        <v>103</v>
      </c>
    </row>
    <row r="86" spans="1:6" x14ac:dyDescent="0.25">
      <c r="A86" s="3" t="s">
        <v>0</v>
      </c>
      <c r="B86" s="3">
        <v>100</v>
      </c>
      <c r="C86" s="3">
        <v>1</v>
      </c>
      <c r="D86" s="3">
        <v>3321.0929999999998</v>
      </c>
      <c r="E86" s="3">
        <v>11.327999999999999</v>
      </c>
      <c r="F86" s="3">
        <v>103</v>
      </c>
    </row>
    <row r="87" spans="1:6" x14ac:dyDescent="0.25">
      <c r="A87" s="3" t="s">
        <v>0</v>
      </c>
      <c r="B87" s="3">
        <v>100</v>
      </c>
      <c r="C87" s="3">
        <v>1</v>
      </c>
      <c r="D87" s="3">
        <v>3321.6930000000002</v>
      </c>
      <c r="E87" s="3">
        <v>11.340999999999999</v>
      </c>
      <c r="F87" s="3">
        <v>103</v>
      </c>
    </row>
    <row r="88" spans="1:6" x14ac:dyDescent="0.25">
      <c r="A88" s="3" t="s">
        <v>0</v>
      </c>
      <c r="B88" s="3">
        <v>100</v>
      </c>
      <c r="C88" s="3">
        <v>1</v>
      </c>
      <c r="D88" s="3">
        <v>3319.5749999999998</v>
      </c>
      <c r="E88" s="3">
        <v>11.346</v>
      </c>
      <c r="F88" s="3">
        <v>102</v>
      </c>
    </row>
    <row r="89" spans="1:6" x14ac:dyDescent="0.25">
      <c r="A89" s="3" t="s">
        <v>0</v>
      </c>
      <c r="B89" s="3">
        <v>100</v>
      </c>
      <c r="C89" s="3">
        <v>1</v>
      </c>
      <c r="D89" s="3">
        <v>3305.6860000000001</v>
      </c>
      <c r="E89" s="3">
        <v>11.333</v>
      </c>
      <c r="F89" s="3">
        <v>103</v>
      </c>
    </row>
    <row r="90" spans="1:6" x14ac:dyDescent="0.25">
      <c r="A90" s="3" t="s">
        <v>0</v>
      </c>
      <c r="B90" s="3">
        <v>100</v>
      </c>
      <c r="C90" s="3">
        <v>1</v>
      </c>
      <c r="D90" s="3">
        <v>3336.596</v>
      </c>
      <c r="E90" s="3">
        <v>11.36</v>
      </c>
      <c r="F90" s="3">
        <v>101</v>
      </c>
    </row>
  </sheetData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0"/>
  <sheetViews>
    <sheetView zoomScale="85" zoomScaleNormal="85" workbookViewId="0">
      <selection sqref="A1:F91"/>
    </sheetView>
  </sheetViews>
  <sheetFormatPr defaultColWidth="9" defaultRowHeight="15" x14ac:dyDescent="0.25"/>
  <cols>
    <col min="1" max="1" width="9.75" style="3" customWidth="1"/>
    <col min="2" max="2" width="4.375" style="3" bestFit="1" customWidth="1"/>
    <col min="3" max="3" width="2.625" style="3" bestFit="1" customWidth="1"/>
    <col min="4" max="4" width="9" style="3"/>
    <col min="5" max="5" width="7" style="3" bestFit="1" customWidth="1"/>
    <col min="6" max="6" width="4.375" style="3" bestFit="1" customWidth="1"/>
    <col min="7" max="7" width="2.25" style="3" customWidth="1"/>
    <col min="8" max="8" width="10" style="3" customWidth="1"/>
    <col min="9" max="9" width="4.375" style="3" bestFit="1" customWidth="1"/>
    <col min="10" max="10" width="4.5" style="3" bestFit="1" customWidth="1"/>
    <col min="11" max="11" width="2.5" style="3" customWidth="1"/>
    <col min="12" max="21" width="9" style="3"/>
    <col min="22" max="22" width="3.25" style="3" customWidth="1"/>
    <col min="23" max="23" width="9" style="3"/>
    <col min="24" max="24" width="2.625" style="3" customWidth="1"/>
    <col min="25" max="25" width="9" style="3"/>
    <col min="26" max="26" width="2.125" style="3" customWidth="1"/>
    <col min="27" max="27" width="2.625" style="3" customWidth="1"/>
    <col min="28" max="37" width="9" style="3"/>
    <col min="38" max="38" width="5.625" style="3" customWidth="1"/>
    <col min="39" max="16384" width="9" style="3"/>
  </cols>
  <sheetData>
    <row r="1" spans="1:39" x14ac:dyDescent="0.25">
      <c r="A1" s="3" t="s">
        <v>2</v>
      </c>
      <c r="B1" s="3">
        <v>24</v>
      </c>
      <c r="C1" s="3">
        <v>1</v>
      </c>
      <c r="D1" s="3">
        <v>55978.273000000001</v>
      </c>
      <c r="E1" s="3">
        <v>1.2390000000000001</v>
      </c>
      <c r="F1" s="3">
        <v>184</v>
      </c>
      <c r="H1" s="5" t="s">
        <v>13</v>
      </c>
      <c r="I1" s="5" t="s">
        <v>14</v>
      </c>
      <c r="J1" s="5" t="s">
        <v>10</v>
      </c>
      <c r="K1" s="2"/>
      <c r="L1" s="2">
        <v>1</v>
      </c>
      <c r="M1" s="2">
        <v>2</v>
      </c>
      <c r="N1" s="2">
        <v>3</v>
      </c>
      <c r="O1" s="2">
        <v>4</v>
      </c>
      <c r="P1" s="2">
        <v>5</v>
      </c>
      <c r="Q1" s="2">
        <v>6</v>
      </c>
      <c r="R1" s="2">
        <v>7</v>
      </c>
      <c r="S1" s="2">
        <v>8</v>
      </c>
      <c r="T1" s="2">
        <v>9</v>
      </c>
      <c r="U1" s="2">
        <v>10</v>
      </c>
      <c r="W1" s="2" t="s">
        <v>11</v>
      </c>
      <c r="X1" s="2"/>
      <c r="Y1" s="2" t="s">
        <v>9</v>
      </c>
      <c r="Z1" s="2"/>
      <c r="AM1" s="5" t="s">
        <v>12</v>
      </c>
    </row>
    <row r="2" spans="1:39" x14ac:dyDescent="0.25">
      <c r="A2" s="3" t="s">
        <v>2</v>
      </c>
      <c r="B2" s="3">
        <v>24</v>
      </c>
      <c r="C2" s="3">
        <v>1</v>
      </c>
      <c r="D2" s="3">
        <v>55975.362000000001</v>
      </c>
      <c r="E2" s="3">
        <v>1.2370000000000001</v>
      </c>
      <c r="F2" s="3">
        <v>205</v>
      </c>
      <c r="H2" s="3" t="s">
        <v>2</v>
      </c>
      <c r="I2" s="3">
        <v>24</v>
      </c>
      <c r="J2" s="3">
        <v>1</v>
      </c>
      <c r="L2" s="3">
        <f ca="1">INDIRECT("D"&amp;1+(ROW(D1)-1)*10+COLUMN(A1)-1)</f>
        <v>55978.273000000001</v>
      </c>
      <c r="M2" s="3">
        <f t="shared" ref="M2:U10" ca="1" si="0">INDIRECT("D"&amp;1+(ROW(E1)-1)*10+COLUMN(B1)-1)</f>
        <v>55975.362000000001</v>
      </c>
      <c r="N2" s="3">
        <f t="shared" ca="1" si="0"/>
        <v>56020.735000000001</v>
      </c>
      <c r="O2" s="3">
        <f t="shared" ca="1" si="0"/>
        <v>55969.294000000002</v>
      </c>
      <c r="P2" s="3">
        <f t="shared" ca="1" si="0"/>
        <v>55965.955999999998</v>
      </c>
      <c r="Q2" s="3">
        <f t="shared" ca="1" si="0"/>
        <v>55979.300999999999</v>
      </c>
      <c r="R2" s="3">
        <f t="shared" ca="1" si="0"/>
        <v>55990.267999999996</v>
      </c>
      <c r="S2" s="3">
        <f t="shared" ca="1" si="0"/>
        <v>55989.88</v>
      </c>
      <c r="T2" s="3">
        <f t="shared" ca="1" si="0"/>
        <v>55965.822</v>
      </c>
      <c r="U2" s="3">
        <f t="shared" ca="1" si="0"/>
        <v>55993.377999999997</v>
      </c>
      <c r="W2" s="3">
        <f ca="1">AVERAGE(L2:U2)</f>
        <v>55982.8269</v>
      </c>
      <c r="Y2" s="3">
        <f ca="1">Total!E2</f>
        <v>55722.476000000002</v>
      </c>
      <c r="AB2" s="3">
        <f t="shared" ref="AB2:AK10" ca="1" si="1">(L2-$Y2)/$Y2</f>
        <v>4.5905533702414562E-3</v>
      </c>
      <c r="AC2" s="3">
        <f t="shared" ca="1" si="1"/>
        <v>4.5383123319932619E-3</v>
      </c>
      <c r="AD2" s="3">
        <f t="shared" ca="1" si="1"/>
        <v>5.3525798099854386E-3</v>
      </c>
      <c r="AE2" s="3">
        <f t="shared" ca="1" si="1"/>
        <v>4.4294155198702813E-3</v>
      </c>
      <c r="AF2" s="3">
        <f t="shared" ca="1" si="1"/>
        <v>4.3695115055547053E-3</v>
      </c>
      <c r="AG2" s="3">
        <f t="shared" ca="1" si="1"/>
        <v>4.6090019402583093E-3</v>
      </c>
      <c r="AH2" s="3">
        <f t="shared" ca="1" si="1"/>
        <v>4.8058165972379614E-3</v>
      </c>
      <c r="AI2" s="3">
        <f t="shared" ca="1" si="1"/>
        <v>4.798853518282192E-3</v>
      </c>
      <c r="AJ2" s="3">
        <f t="shared" ca="1" si="1"/>
        <v>4.3671067308638208E-3</v>
      </c>
      <c r="AK2" s="3">
        <f t="shared" ca="1" si="1"/>
        <v>4.8616289053629736E-3</v>
      </c>
      <c r="AM2" s="3">
        <f ca="1">SUM(AB2:AK2)</f>
        <v>4.6722780229650408E-2</v>
      </c>
    </row>
    <row r="3" spans="1:39" x14ac:dyDescent="0.25">
      <c r="A3" s="3" t="s">
        <v>2</v>
      </c>
      <c r="B3" s="3">
        <v>24</v>
      </c>
      <c r="C3" s="3">
        <v>1</v>
      </c>
      <c r="D3" s="3">
        <v>56020.735000000001</v>
      </c>
      <c r="E3" s="3">
        <v>1.24</v>
      </c>
      <c r="F3" s="3">
        <v>226</v>
      </c>
      <c r="H3" s="3" t="s">
        <v>2</v>
      </c>
      <c r="I3" s="3">
        <v>47</v>
      </c>
      <c r="J3" s="3">
        <v>1</v>
      </c>
      <c r="L3" s="3">
        <f t="shared" ref="L3:L10" ca="1" si="2">INDIRECT("D"&amp;1+(ROW(D2)-1)*10+COLUMN(A2)-1)</f>
        <v>126266.83199999999</v>
      </c>
      <c r="M3" s="3">
        <f t="shared" ca="1" si="0"/>
        <v>126311.40700000001</v>
      </c>
      <c r="N3" s="3">
        <f t="shared" ca="1" si="0"/>
        <v>126221.431</v>
      </c>
      <c r="O3" s="3">
        <f t="shared" ca="1" si="0"/>
        <v>126221.637</v>
      </c>
      <c r="P3" s="3">
        <f t="shared" ca="1" si="0"/>
        <v>126296.651</v>
      </c>
      <c r="Q3" s="3">
        <f t="shared" ca="1" si="0"/>
        <v>126376.95299999999</v>
      </c>
      <c r="R3" s="3">
        <f t="shared" ca="1" si="0"/>
        <v>126339.49400000001</v>
      </c>
      <c r="S3" s="3">
        <f t="shared" ca="1" si="0"/>
        <v>126278.91099999999</v>
      </c>
      <c r="T3" s="3">
        <f t="shared" ca="1" si="0"/>
        <v>126273.36599999999</v>
      </c>
      <c r="U3" s="3">
        <f t="shared" ca="1" si="0"/>
        <v>126207.496</v>
      </c>
      <c r="W3" s="3">
        <f t="shared" ref="W3:W10" ca="1" si="3">AVERAGE(L3:U3)</f>
        <v>126279.41780000001</v>
      </c>
      <c r="Y3" s="3">
        <f ca="1">Total!E3</f>
        <v>126021.209</v>
      </c>
      <c r="AB3" s="3">
        <f t="shared" ca="1" si="1"/>
        <v>1.9490608124541346E-3</v>
      </c>
      <c r="AC3" s="3">
        <f t="shared" ca="1" si="1"/>
        <v>2.3027711152969811E-3</v>
      </c>
      <c r="AD3" s="3">
        <f t="shared" ca="1" si="1"/>
        <v>1.5887960573366209E-3</v>
      </c>
      <c r="AE3" s="3">
        <f t="shared" ca="1" si="1"/>
        <v>1.5904307028192365E-3</v>
      </c>
      <c r="AF3" s="3">
        <f t="shared" ca="1" si="1"/>
        <v>2.185679713642451E-3</v>
      </c>
      <c r="AG3" s="3">
        <f t="shared" ca="1" si="1"/>
        <v>2.8228899152998245E-3</v>
      </c>
      <c r="AH3" s="3">
        <f t="shared" ca="1" si="1"/>
        <v>2.5256462981560787E-3</v>
      </c>
      <c r="AI3" s="3">
        <f t="shared" ca="1" si="1"/>
        <v>2.0449097580074018E-3</v>
      </c>
      <c r="AJ3" s="3">
        <f t="shared" ca="1" si="1"/>
        <v>2.0009092279061691E-3</v>
      </c>
      <c r="AK3" s="3">
        <f t="shared" ca="1" si="1"/>
        <v>1.4782194320957247E-3</v>
      </c>
      <c r="AM3" s="3">
        <f t="shared" ref="AM3:AM10" ca="1" si="4">SUM(AB3:AK3)</f>
        <v>2.0489313033014621E-2</v>
      </c>
    </row>
    <row r="4" spans="1:39" x14ac:dyDescent="0.25">
      <c r="A4" s="3" t="s">
        <v>2</v>
      </c>
      <c r="B4" s="3">
        <v>24</v>
      </c>
      <c r="C4" s="3">
        <v>1</v>
      </c>
      <c r="D4" s="3">
        <v>55969.294000000002</v>
      </c>
      <c r="E4" s="3">
        <v>1.2390000000000001</v>
      </c>
      <c r="F4" s="3">
        <v>217</v>
      </c>
      <c r="H4" s="3" t="s">
        <v>2</v>
      </c>
      <c r="I4" s="3">
        <v>100</v>
      </c>
      <c r="J4" s="3">
        <v>1</v>
      </c>
      <c r="L4" s="3">
        <f t="shared" ca="1" si="2"/>
        <v>1216984.7590000001</v>
      </c>
      <c r="M4" s="3">
        <f t="shared" ca="1" si="0"/>
        <v>1217299.4609999999</v>
      </c>
      <c r="N4" s="3">
        <f t="shared" ca="1" si="0"/>
        <v>1217270.378</v>
      </c>
      <c r="O4" s="3">
        <f t="shared" ca="1" si="0"/>
        <v>1216839.324</v>
      </c>
      <c r="P4" s="3">
        <f t="shared" ca="1" si="0"/>
        <v>1216641.8030000001</v>
      </c>
      <c r="Q4" s="3">
        <f t="shared" ca="1" si="0"/>
        <v>1216640.7779999999</v>
      </c>
      <c r="R4" s="3">
        <f t="shared" ca="1" si="0"/>
        <v>1216729.5430000001</v>
      </c>
      <c r="S4" s="3">
        <f t="shared" ca="1" si="0"/>
        <v>1216736.561</v>
      </c>
      <c r="T4" s="3">
        <f t="shared" ca="1" si="0"/>
        <v>1217106.2749999999</v>
      </c>
      <c r="U4" s="3">
        <f t="shared" ca="1" si="0"/>
        <v>1216636.8359999999</v>
      </c>
      <c r="W4" s="3">
        <f t="shared" ca="1" si="3"/>
        <v>1216888.5718</v>
      </c>
      <c r="Y4" s="3">
        <f ca="1">Total!E4</f>
        <v>1216556.6340000001</v>
      </c>
      <c r="AB4" s="3">
        <f t="shared" ca="1" si="1"/>
        <v>3.5191538810021397E-4</v>
      </c>
      <c r="AC4" s="3">
        <f t="shared" ca="1" si="1"/>
        <v>6.1059796086715976E-4</v>
      </c>
      <c r="AD4" s="3">
        <f t="shared" ca="1" si="1"/>
        <v>5.8669196324480182E-4</v>
      </c>
      <c r="AE4" s="3">
        <f t="shared" ca="1" si="1"/>
        <v>2.3236896014488718E-4</v>
      </c>
      <c r="AF4" s="3">
        <f t="shared" ca="1" si="1"/>
        <v>7.0008249200829566E-5</v>
      </c>
      <c r="AG4" s="3">
        <f t="shared" ca="1" si="1"/>
        <v>6.9165707249642687E-5</v>
      </c>
      <c r="AH4" s="3">
        <f t="shared" ca="1" si="1"/>
        <v>1.4212984021258896E-4</v>
      </c>
      <c r="AI4" s="3">
        <f t="shared" ca="1" si="1"/>
        <v>1.478985811028907E-4</v>
      </c>
      <c r="AJ4" s="3">
        <f t="shared" ca="1" si="1"/>
        <v>4.5180058588199567E-4</v>
      </c>
      <c r="AK4" s="3">
        <f t="shared" ca="1" si="1"/>
        <v>6.5925414204609566E-5</v>
      </c>
      <c r="AM4" s="3">
        <f t="shared" ca="1" si="4"/>
        <v>2.7285026502096199E-3</v>
      </c>
    </row>
    <row r="5" spans="1:39" x14ac:dyDescent="0.25">
      <c r="A5" s="3" t="s">
        <v>2</v>
      </c>
      <c r="B5" s="3">
        <v>24</v>
      </c>
      <c r="C5" s="3">
        <v>1</v>
      </c>
      <c r="D5" s="3">
        <v>55965.955999999998</v>
      </c>
      <c r="E5" s="3">
        <v>1.2370000000000001</v>
      </c>
      <c r="F5" s="3">
        <v>212</v>
      </c>
      <c r="H5" s="3" t="s">
        <v>1</v>
      </c>
      <c r="I5" s="3">
        <v>30</v>
      </c>
      <c r="J5" s="3">
        <v>1</v>
      </c>
      <c r="L5" s="3">
        <f t="shared" ca="1" si="2"/>
        <v>20002.530999999999</v>
      </c>
      <c r="M5" s="3">
        <f t="shared" ca="1" si="0"/>
        <v>19978.968000000001</v>
      </c>
      <c r="N5" s="3">
        <f t="shared" ca="1" si="0"/>
        <v>20025.465</v>
      </c>
      <c r="O5" s="3">
        <f t="shared" ca="1" si="0"/>
        <v>20037.812999999998</v>
      </c>
      <c r="P5" s="3">
        <f t="shared" ca="1" si="0"/>
        <v>20044.460999999999</v>
      </c>
      <c r="Q5" s="3">
        <f t="shared" ca="1" si="0"/>
        <v>20008.235000000001</v>
      </c>
      <c r="R5" s="3">
        <f t="shared" ca="1" si="0"/>
        <v>20017.371999999999</v>
      </c>
      <c r="S5" s="3">
        <f t="shared" ca="1" si="0"/>
        <v>19987.281999999999</v>
      </c>
      <c r="T5" s="3">
        <f t="shared" ca="1" si="0"/>
        <v>20015.668000000001</v>
      </c>
      <c r="U5" s="3">
        <f t="shared" ca="1" si="0"/>
        <v>20018.784</v>
      </c>
      <c r="W5" s="3">
        <f t="shared" ca="1" si="3"/>
        <v>20013.657899999998</v>
      </c>
      <c r="Y5" s="3">
        <f ca="1">Total!E5</f>
        <v>19969.536</v>
      </c>
      <c r="AB5" s="3">
        <f t="shared" ca="1" si="1"/>
        <v>1.6522667326871782E-3</v>
      </c>
      <c r="AC5" s="3">
        <f t="shared" ca="1" si="1"/>
        <v>4.7231943696642215E-4</v>
      </c>
      <c r="AD5" s="3">
        <f t="shared" ca="1" si="1"/>
        <v>2.8007160506884131E-3</v>
      </c>
      <c r="AE5" s="3">
        <f t="shared" ca="1" si="1"/>
        <v>3.4190579090069106E-3</v>
      </c>
      <c r="AF5" s="3">
        <f t="shared" ca="1" si="1"/>
        <v>3.7519649930774193E-3</v>
      </c>
      <c r="AG5" s="3">
        <f t="shared" ca="1" si="1"/>
        <v>1.9379018120401258E-3</v>
      </c>
      <c r="AH5" s="3">
        <f t="shared" ca="1" si="1"/>
        <v>2.3954487475322077E-3</v>
      </c>
      <c r="AI5" s="3">
        <f t="shared" ca="1" si="1"/>
        <v>8.8865359715915209E-4</v>
      </c>
      <c r="AJ5" s="3">
        <f t="shared" ca="1" si="1"/>
        <v>2.3101187729149754E-3</v>
      </c>
      <c r="AK5" s="3">
        <f t="shared" ca="1" si="1"/>
        <v>2.466156449503864E-3</v>
      </c>
      <c r="AM5" s="3">
        <f t="shared" ca="1" si="4"/>
        <v>2.2094604501576669E-2</v>
      </c>
    </row>
    <row r="6" spans="1:39" x14ac:dyDescent="0.25">
      <c r="A6" s="3" t="s">
        <v>2</v>
      </c>
      <c r="B6" s="3">
        <v>24</v>
      </c>
      <c r="C6" s="3">
        <v>1</v>
      </c>
      <c r="D6" s="3">
        <v>55979.300999999999</v>
      </c>
      <c r="E6" s="3">
        <v>1.2390000000000001</v>
      </c>
      <c r="F6" s="3">
        <v>226</v>
      </c>
      <c r="H6" s="3" t="s">
        <v>1</v>
      </c>
      <c r="I6" s="3">
        <v>50</v>
      </c>
      <c r="J6" s="3">
        <v>1</v>
      </c>
      <c r="L6" s="3">
        <f t="shared" ca="1" si="2"/>
        <v>35383.552000000003</v>
      </c>
      <c r="M6" s="3">
        <f t="shared" ca="1" si="0"/>
        <v>35425.612000000001</v>
      </c>
      <c r="N6" s="3">
        <f t="shared" ca="1" si="0"/>
        <v>35376.065999999999</v>
      </c>
      <c r="O6" s="3">
        <f t="shared" ca="1" si="0"/>
        <v>35367.980000000003</v>
      </c>
      <c r="P6" s="3">
        <f t="shared" ca="1" si="0"/>
        <v>35349.529000000002</v>
      </c>
      <c r="Q6" s="3">
        <f t="shared" ca="1" si="0"/>
        <v>35407.781000000003</v>
      </c>
      <c r="R6" s="3">
        <f t="shared" ca="1" si="0"/>
        <v>35341.89</v>
      </c>
      <c r="S6" s="3">
        <f t="shared" ca="1" si="0"/>
        <v>35355.457000000002</v>
      </c>
      <c r="T6" s="3">
        <f t="shared" ca="1" si="0"/>
        <v>35319.097000000002</v>
      </c>
      <c r="U6" s="3">
        <f t="shared" ca="1" si="0"/>
        <v>35300.116999999998</v>
      </c>
      <c r="W6" s="3">
        <f t="shared" ca="1" si="3"/>
        <v>35362.708100000003</v>
      </c>
      <c r="Y6" s="3">
        <f ca="1">Total!E6</f>
        <v>35277.981</v>
      </c>
      <c r="AB6" s="3">
        <f t="shared" ca="1" si="1"/>
        <v>2.9925465405745174E-3</v>
      </c>
      <c r="AC6" s="3">
        <f t="shared" ca="1" si="1"/>
        <v>4.1847916409955893E-3</v>
      </c>
      <c r="AD6" s="3">
        <f t="shared" ca="1" si="1"/>
        <v>2.7803461881789416E-3</v>
      </c>
      <c r="AE6" s="3">
        <f t="shared" ca="1" si="1"/>
        <v>2.5511380597433688E-3</v>
      </c>
      <c r="AF6" s="3">
        <f t="shared" ca="1" si="1"/>
        <v>2.0281206002124245E-3</v>
      </c>
      <c r="AG6" s="3">
        <f t="shared" ca="1" si="1"/>
        <v>3.6793488833729718E-3</v>
      </c>
      <c r="AH6" s="3">
        <f t="shared" ca="1" si="1"/>
        <v>1.8115832649266308E-3</v>
      </c>
      <c r="AI6" s="3">
        <f t="shared" ca="1" si="1"/>
        <v>2.1961574274900367E-3</v>
      </c>
      <c r="AJ6" s="3">
        <f t="shared" ca="1" si="1"/>
        <v>1.1654861994512045E-3</v>
      </c>
      <c r="AK6" s="3">
        <f t="shared" ca="1" si="1"/>
        <v>6.2747355071138006E-4</v>
      </c>
      <c r="AM6" s="3">
        <f t="shared" ca="1" si="4"/>
        <v>2.4016992355657067E-2</v>
      </c>
    </row>
    <row r="7" spans="1:39" x14ac:dyDescent="0.25">
      <c r="A7" s="3" t="s">
        <v>2</v>
      </c>
      <c r="B7" s="3">
        <v>24</v>
      </c>
      <c r="C7" s="3">
        <v>1</v>
      </c>
      <c r="D7" s="3">
        <v>55990.267999999996</v>
      </c>
      <c r="E7" s="3">
        <v>1.2390000000000001</v>
      </c>
      <c r="F7" s="3">
        <v>215</v>
      </c>
      <c r="H7" s="3" t="s">
        <v>1</v>
      </c>
      <c r="I7" s="3">
        <v>100</v>
      </c>
      <c r="J7" s="3">
        <v>1</v>
      </c>
      <c r="L7" s="3">
        <f t="shared" ca="1" si="2"/>
        <v>63185.652000000002</v>
      </c>
      <c r="M7" s="3">
        <f t="shared" ca="1" si="0"/>
        <v>63158.46</v>
      </c>
      <c r="N7" s="3">
        <f t="shared" ca="1" si="0"/>
        <v>63155.133999999998</v>
      </c>
      <c r="O7" s="3">
        <f t="shared" ca="1" si="0"/>
        <v>63093.733</v>
      </c>
      <c r="P7" s="3">
        <f t="shared" ca="1" si="0"/>
        <v>63104.67</v>
      </c>
      <c r="Q7" s="3">
        <f t="shared" ca="1" si="0"/>
        <v>63167.680999999997</v>
      </c>
      <c r="R7" s="3">
        <f t="shared" ca="1" si="0"/>
        <v>63119.495000000003</v>
      </c>
      <c r="S7" s="3">
        <f t="shared" ca="1" si="0"/>
        <v>63075.688999999998</v>
      </c>
      <c r="T7" s="3">
        <f t="shared" ca="1" si="0"/>
        <v>63218.550999999999</v>
      </c>
      <c r="U7" s="3">
        <f t="shared" ca="1" si="0"/>
        <v>63135.309000000001</v>
      </c>
      <c r="W7" s="3">
        <f t="shared" ca="1" si="3"/>
        <v>63141.437399999995</v>
      </c>
      <c r="Y7" s="3">
        <f ca="1">Total!E7</f>
        <v>63035.512000000002</v>
      </c>
      <c r="AB7" s="3">
        <f t="shared" ca="1" si="1"/>
        <v>2.3818320060603206E-3</v>
      </c>
      <c r="AC7" s="3">
        <f t="shared" ca="1" si="1"/>
        <v>1.9504561174976524E-3</v>
      </c>
      <c r="AD7" s="3">
        <f t="shared" ca="1" si="1"/>
        <v>1.8976922087980462E-3</v>
      </c>
      <c r="AE7" s="3">
        <f t="shared" ca="1" si="1"/>
        <v>9.236222274199618E-4</v>
      </c>
      <c r="AF7" s="3">
        <f t="shared" ca="1" si="1"/>
        <v>1.0971276000739996E-3</v>
      </c>
      <c r="AG7" s="3">
        <f t="shared" ca="1" si="1"/>
        <v>2.096738739902587E-3</v>
      </c>
      <c r="AH7" s="3">
        <f t="shared" ca="1" si="1"/>
        <v>1.3323124907750439E-3</v>
      </c>
      <c r="AI7" s="3">
        <f t="shared" ca="1" si="1"/>
        <v>6.3737088389154422E-4</v>
      </c>
      <c r="AJ7" s="3">
        <f t="shared" ca="1" si="1"/>
        <v>2.9037441624968005E-3</v>
      </c>
      <c r="AK7" s="3">
        <f t="shared" ca="1" si="1"/>
        <v>1.5831869502384412E-3</v>
      </c>
      <c r="AM7" s="3">
        <f t="shared" ca="1" si="4"/>
        <v>1.6804083387154396E-2</v>
      </c>
    </row>
    <row r="8" spans="1:39" x14ac:dyDescent="0.25">
      <c r="A8" s="3" t="s">
        <v>2</v>
      </c>
      <c r="B8" s="3">
        <v>24</v>
      </c>
      <c r="C8" s="3">
        <v>1</v>
      </c>
      <c r="D8" s="3">
        <v>55989.88</v>
      </c>
      <c r="E8" s="3">
        <v>1.236</v>
      </c>
      <c r="F8" s="3">
        <v>219</v>
      </c>
      <c r="H8" s="3" t="s">
        <v>0</v>
      </c>
      <c r="I8" s="3">
        <v>25</v>
      </c>
      <c r="J8" s="3">
        <v>1</v>
      </c>
      <c r="L8" s="3">
        <f t="shared" ca="1" si="2"/>
        <v>723.57100000000003</v>
      </c>
      <c r="M8" s="3">
        <f t="shared" ca="1" si="0"/>
        <v>723.71500000000003</v>
      </c>
      <c r="N8" s="3">
        <f t="shared" ca="1" si="0"/>
        <v>722.99800000000005</v>
      </c>
      <c r="O8" s="3">
        <f t="shared" ca="1" si="0"/>
        <v>722.96500000000003</v>
      </c>
      <c r="P8" s="3">
        <f t="shared" ca="1" si="0"/>
        <v>723.053</v>
      </c>
      <c r="Q8" s="3">
        <f t="shared" ca="1" si="0"/>
        <v>723.06200000000001</v>
      </c>
      <c r="R8" s="3">
        <f t="shared" ca="1" si="0"/>
        <v>723.755</v>
      </c>
      <c r="S8" s="3">
        <f t="shared" ca="1" si="0"/>
        <v>723.64800000000002</v>
      </c>
      <c r="T8" s="3">
        <f t="shared" ca="1" si="0"/>
        <v>723.31899999999996</v>
      </c>
      <c r="U8" s="3">
        <f t="shared" ca="1" si="0"/>
        <v>723.57299999999998</v>
      </c>
      <c r="W8" s="3">
        <f t="shared" ca="1" si="3"/>
        <v>723.36590000000012</v>
      </c>
      <c r="Y8" s="3">
        <f ca="1">Total!E8</f>
        <v>722.92</v>
      </c>
      <c r="AB8" s="3">
        <f t="shared" ca="1" si="1"/>
        <v>9.0051457975995591E-4</v>
      </c>
      <c r="AC8" s="3">
        <f t="shared" ca="1" si="1"/>
        <v>1.0997067448681359E-3</v>
      </c>
      <c r="AD8" s="3">
        <f t="shared" ca="1" si="1"/>
        <v>1.078957561003821E-4</v>
      </c>
      <c r="AE8" s="3">
        <f t="shared" ca="1" si="1"/>
        <v>6.2247551596404527E-5</v>
      </c>
      <c r="AF8" s="3">
        <f t="shared" ca="1" si="1"/>
        <v>1.8397609694023988E-4</v>
      </c>
      <c r="AG8" s="3">
        <f t="shared" ca="1" si="1"/>
        <v>1.9642560725952076E-4</v>
      </c>
      <c r="AH8" s="3">
        <f t="shared" ca="1" si="1"/>
        <v>1.1550379018425779E-3</v>
      </c>
      <c r="AI8" s="3">
        <f t="shared" ca="1" si="1"/>
        <v>1.0070270569358512E-3</v>
      </c>
      <c r="AJ8" s="3">
        <f t="shared" ca="1" si="1"/>
        <v>5.5192829082056233E-4</v>
      </c>
      <c r="AK8" s="3">
        <f t="shared" ca="1" si="1"/>
        <v>9.0328113760861518E-4</v>
      </c>
      <c r="AM8" s="3">
        <f t="shared" ca="1" si="4"/>
        <v>6.1680407237322456E-3</v>
      </c>
    </row>
    <row r="9" spans="1:39" x14ac:dyDescent="0.25">
      <c r="A9" s="3" t="s">
        <v>2</v>
      </c>
      <c r="B9" s="3">
        <v>24</v>
      </c>
      <c r="C9" s="3">
        <v>1</v>
      </c>
      <c r="D9" s="3">
        <v>55965.822</v>
      </c>
      <c r="E9" s="3">
        <v>1.327</v>
      </c>
      <c r="F9" s="3">
        <v>218</v>
      </c>
      <c r="H9" s="3" t="s">
        <v>0</v>
      </c>
      <c r="I9" s="3">
        <v>50</v>
      </c>
      <c r="J9" s="3">
        <v>1</v>
      </c>
      <c r="L9" s="3">
        <f t="shared" ca="1" si="2"/>
        <v>1571.925</v>
      </c>
      <c r="M9" s="3">
        <f t="shared" ca="1" si="0"/>
        <v>1571.539</v>
      </c>
      <c r="N9" s="3">
        <f t="shared" ca="1" si="0"/>
        <v>1573.1410000000001</v>
      </c>
      <c r="O9" s="3">
        <f t="shared" ca="1" si="0"/>
        <v>1572.2460000000001</v>
      </c>
      <c r="P9" s="3">
        <f t="shared" ca="1" si="0"/>
        <v>1571.98</v>
      </c>
      <c r="Q9" s="3">
        <f t="shared" ca="1" si="0"/>
        <v>1571.3150000000001</v>
      </c>
      <c r="R9" s="3">
        <f t="shared" ca="1" si="0"/>
        <v>1571.029</v>
      </c>
      <c r="S9" s="3">
        <f t="shared" ca="1" si="0"/>
        <v>1572.144</v>
      </c>
      <c r="T9" s="3">
        <f t="shared" ca="1" si="0"/>
        <v>1572.221</v>
      </c>
      <c r="U9" s="3">
        <f t="shared" ca="1" si="0"/>
        <v>1570.953</v>
      </c>
      <c r="W9" s="3">
        <f t="shared" ca="1" si="3"/>
        <v>1571.8493000000001</v>
      </c>
      <c r="Y9" s="3">
        <f ca="1">Total!E9</f>
        <v>1570.17</v>
      </c>
      <c r="AB9" s="3">
        <f t="shared" ca="1" si="1"/>
        <v>1.1177133686160617E-3</v>
      </c>
      <c r="AC9" s="3">
        <f t="shared" ca="1" si="1"/>
        <v>8.7188011489196357E-4</v>
      </c>
      <c r="AD9" s="3">
        <f t="shared" ca="1" si="1"/>
        <v>1.8921518052185454E-3</v>
      </c>
      <c r="AE9" s="3">
        <f t="shared" ca="1" si="1"/>
        <v>1.3221498309100427E-3</v>
      </c>
      <c r="AF9" s="3">
        <f t="shared" ca="1" si="1"/>
        <v>1.1527414229032177E-3</v>
      </c>
      <c r="AG9" s="3">
        <f t="shared" ca="1" si="1"/>
        <v>7.292204028863001E-4</v>
      </c>
      <c r="AH9" s="3">
        <f t="shared" ca="1" si="1"/>
        <v>5.4707452059326288E-4</v>
      </c>
      <c r="AI9" s="3">
        <f t="shared" ca="1" si="1"/>
        <v>1.2571887120502447E-3</v>
      </c>
      <c r="AJ9" s="3">
        <f t="shared" ca="1" si="1"/>
        <v>1.306227988052205E-3</v>
      </c>
      <c r="AK9" s="3">
        <f t="shared" ca="1" si="1"/>
        <v>4.9867211830559863E-4</v>
      </c>
      <c r="AM9" s="3">
        <f t="shared" ca="1" si="4"/>
        <v>1.0695020284427441E-2</v>
      </c>
    </row>
    <row r="10" spans="1:39" x14ac:dyDescent="0.25">
      <c r="A10" s="3" t="s">
        <v>2</v>
      </c>
      <c r="B10" s="3">
        <v>24</v>
      </c>
      <c r="C10" s="3">
        <v>1</v>
      </c>
      <c r="D10" s="3">
        <v>55993.377999999997</v>
      </c>
      <c r="E10" s="3">
        <v>1.24</v>
      </c>
      <c r="F10" s="3">
        <v>215</v>
      </c>
      <c r="H10" s="3" t="s">
        <v>28</v>
      </c>
      <c r="I10" s="3">
        <v>100</v>
      </c>
      <c r="J10" s="3">
        <v>1</v>
      </c>
      <c r="L10" s="3">
        <f t="shared" ca="1" si="2"/>
        <v>3322.259</v>
      </c>
      <c r="M10" s="3">
        <f t="shared" ca="1" si="0"/>
        <v>3317.6129999999998</v>
      </c>
      <c r="N10" s="3">
        <f t="shared" ca="1" si="0"/>
        <v>3290.5720000000001</v>
      </c>
      <c r="O10" s="3">
        <f t="shared" ca="1" si="0"/>
        <v>3294.1729999999998</v>
      </c>
      <c r="P10" s="3">
        <f t="shared" ca="1" si="0"/>
        <v>3295.0239999999999</v>
      </c>
      <c r="Q10" s="3">
        <f t="shared" ca="1" si="0"/>
        <v>3318.4760000000001</v>
      </c>
      <c r="R10" s="3">
        <f t="shared" ca="1" si="0"/>
        <v>3297.924</v>
      </c>
      <c r="S10" s="3">
        <f t="shared" ca="1" si="0"/>
        <v>3292.7820000000002</v>
      </c>
      <c r="T10" s="3">
        <f t="shared" ca="1" si="0"/>
        <v>3293.3409999999999</v>
      </c>
      <c r="U10" s="3">
        <f t="shared" ca="1" si="0"/>
        <v>3292.701</v>
      </c>
      <c r="W10" s="3">
        <f t="shared" ca="1" si="3"/>
        <v>3301.4865</v>
      </c>
      <c r="Y10" s="3">
        <f ca="1">Total!E10</f>
        <v>3290.5340000000001</v>
      </c>
      <c r="AB10" s="3">
        <f t="shared" ca="1" si="1"/>
        <v>9.6412922644166284E-3</v>
      </c>
      <c r="AC10" s="3">
        <f t="shared" ca="1" si="1"/>
        <v>8.2293633799254834E-3</v>
      </c>
      <c r="AD10" s="3">
        <f t="shared" ca="1" si="1"/>
        <v>1.1548277574403094E-5</v>
      </c>
      <c r="AE10" s="3">
        <f t="shared" ca="1" si="1"/>
        <v>1.105899528769394E-3</v>
      </c>
      <c r="AF10" s="3">
        <f t="shared" ca="1" si="1"/>
        <v>1.3645201660276969E-3</v>
      </c>
      <c r="AG10" s="3">
        <f t="shared" ca="1" si="1"/>
        <v>8.4916308416810183E-3</v>
      </c>
      <c r="AH10" s="3">
        <f t="shared" ca="1" si="1"/>
        <v>2.2458360861792865E-3</v>
      </c>
      <c r="AI10" s="3">
        <f t="shared" ca="1" si="1"/>
        <v>6.8317178913819066E-4</v>
      </c>
      <c r="AJ10" s="3">
        <f t="shared" ca="1" si="1"/>
        <v>8.5305303029836158E-4</v>
      </c>
      <c r="AK10" s="3">
        <f t="shared" ca="1" si="1"/>
        <v>6.5855572378219348E-4</v>
      </c>
      <c r="AM10" s="3">
        <f t="shared" ca="1" si="4"/>
        <v>3.3284871087792656E-2</v>
      </c>
    </row>
    <row r="11" spans="1:39" x14ac:dyDescent="0.25">
      <c r="A11" s="3" t="s">
        <v>2</v>
      </c>
      <c r="B11" s="3">
        <v>47</v>
      </c>
      <c r="C11" s="3">
        <v>1</v>
      </c>
      <c r="D11" s="3">
        <v>126266.83199999999</v>
      </c>
      <c r="E11" s="3">
        <v>4.149</v>
      </c>
      <c r="F11" s="3">
        <v>219</v>
      </c>
    </row>
    <row r="12" spans="1:39" x14ac:dyDescent="0.25">
      <c r="A12" s="3" t="s">
        <v>2</v>
      </c>
      <c r="B12" s="3">
        <v>47</v>
      </c>
      <c r="C12" s="3">
        <v>1</v>
      </c>
      <c r="D12" s="3">
        <v>126311.40700000001</v>
      </c>
      <c r="E12" s="3">
        <v>4.141</v>
      </c>
      <c r="F12" s="3">
        <v>221</v>
      </c>
    </row>
    <row r="13" spans="1:39" x14ac:dyDescent="0.25">
      <c r="A13" s="3" t="s">
        <v>2</v>
      </c>
      <c r="B13" s="3">
        <v>47</v>
      </c>
      <c r="C13" s="3">
        <v>1</v>
      </c>
      <c r="D13" s="3">
        <v>126221.431</v>
      </c>
      <c r="E13" s="3">
        <v>4.1509999999999998</v>
      </c>
      <c r="F13" s="3">
        <v>225</v>
      </c>
    </row>
    <row r="14" spans="1:39" x14ac:dyDescent="0.25">
      <c r="A14" s="3" t="s">
        <v>2</v>
      </c>
      <c r="B14" s="3">
        <v>47</v>
      </c>
      <c r="C14" s="3">
        <v>1</v>
      </c>
      <c r="D14" s="3">
        <v>126221.637</v>
      </c>
      <c r="E14" s="3">
        <v>4.1520000000000001</v>
      </c>
      <c r="F14" s="3">
        <v>232</v>
      </c>
    </row>
    <row r="15" spans="1:39" x14ac:dyDescent="0.25">
      <c r="A15" s="3" t="s">
        <v>2</v>
      </c>
      <c r="B15" s="3">
        <v>47</v>
      </c>
      <c r="C15" s="3">
        <v>1</v>
      </c>
      <c r="D15" s="3">
        <v>126296.651</v>
      </c>
      <c r="E15" s="3">
        <v>4.1440000000000001</v>
      </c>
      <c r="F15" s="3">
        <v>218</v>
      </c>
    </row>
    <row r="16" spans="1:39" x14ac:dyDescent="0.25">
      <c r="A16" s="3" t="s">
        <v>2</v>
      </c>
      <c r="B16" s="3">
        <v>47</v>
      </c>
      <c r="C16" s="3">
        <v>1</v>
      </c>
      <c r="D16" s="3">
        <v>126376.95299999999</v>
      </c>
      <c r="E16" s="3">
        <v>4.1459999999999999</v>
      </c>
      <c r="F16" s="3">
        <v>228</v>
      </c>
    </row>
    <row r="17" spans="1:6" x14ac:dyDescent="0.25">
      <c r="A17" s="3" t="s">
        <v>2</v>
      </c>
      <c r="B17" s="3">
        <v>47</v>
      </c>
      <c r="C17" s="3">
        <v>1</v>
      </c>
      <c r="D17" s="3">
        <v>126339.49400000001</v>
      </c>
      <c r="E17" s="3">
        <v>4.1429999999999998</v>
      </c>
      <c r="F17" s="3">
        <v>229</v>
      </c>
    </row>
    <row r="18" spans="1:6" x14ac:dyDescent="0.25">
      <c r="A18" s="3" t="s">
        <v>2</v>
      </c>
      <c r="B18" s="3">
        <v>47</v>
      </c>
      <c r="C18" s="3">
        <v>1</v>
      </c>
      <c r="D18" s="3">
        <v>126278.91099999999</v>
      </c>
      <c r="E18" s="3">
        <v>4.1529999999999996</v>
      </c>
      <c r="F18" s="3">
        <v>226</v>
      </c>
    </row>
    <row r="19" spans="1:6" x14ac:dyDescent="0.25">
      <c r="A19" s="3" t="s">
        <v>2</v>
      </c>
      <c r="B19" s="3">
        <v>47</v>
      </c>
      <c r="C19" s="3">
        <v>1</v>
      </c>
      <c r="D19" s="3">
        <v>126273.36599999999</v>
      </c>
      <c r="E19" s="3">
        <v>4.1399999999999997</v>
      </c>
      <c r="F19" s="3">
        <v>220</v>
      </c>
    </row>
    <row r="20" spans="1:6" x14ac:dyDescent="0.25">
      <c r="A20" s="3" t="s">
        <v>2</v>
      </c>
      <c r="B20" s="3">
        <v>47</v>
      </c>
      <c r="C20" s="3">
        <v>1</v>
      </c>
      <c r="D20" s="3">
        <v>126207.496</v>
      </c>
      <c r="E20" s="3">
        <v>4.1459999999999999</v>
      </c>
      <c r="F20" s="3">
        <v>235</v>
      </c>
    </row>
    <row r="21" spans="1:6" x14ac:dyDescent="0.25">
      <c r="A21" s="3" t="s">
        <v>2</v>
      </c>
      <c r="B21" s="3">
        <v>100</v>
      </c>
      <c r="C21" s="3">
        <v>1</v>
      </c>
      <c r="D21" s="3">
        <v>1216984.7590000001</v>
      </c>
      <c r="E21" s="3">
        <v>22.058</v>
      </c>
      <c r="F21" s="3">
        <v>256</v>
      </c>
    </row>
    <row r="22" spans="1:6" x14ac:dyDescent="0.25">
      <c r="A22" s="3" t="s">
        <v>2</v>
      </c>
      <c r="B22" s="3">
        <v>100</v>
      </c>
      <c r="C22" s="3">
        <v>1</v>
      </c>
      <c r="D22" s="3">
        <v>1217299.4609999999</v>
      </c>
      <c r="E22" s="3">
        <v>22.071000000000002</v>
      </c>
      <c r="F22" s="3">
        <v>257</v>
      </c>
    </row>
    <row r="23" spans="1:6" x14ac:dyDescent="0.25">
      <c r="A23" s="3" t="s">
        <v>2</v>
      </c>
      <c r="B23" s="3">
        <v>100</v>
      </c>
      <c r="C23" s="3">
        <v>1</v>
      </c>
      <c r="D23" s="3">
        <v>1217270.378</v>
      </c>
      <c r="E23" s="3">
        <v>22.082999999999998</v>
      </c>
      <c r="F23" s="3">
        <v>258</v>
      </c>
    </row>
    <row r="24" spans="1:6" x14ac:dyDescent="0.25">
      <c r="A24" s="3" t="s">
        <v>2</v>
      </c>
      <c r="B24" s="3">
        <v>100</v>
      </c>
      <c r="C24" s="3">
        <v>1</v>
      </c>
      <c r="D24" s="3">
        <v>1216839.324</v>
      </c>
      <c r="E24" s="3">
        <v>22.082999999999998</v>
      </c>
      <c r="F24" s="3">
        <v>257</v>
      </c>
    </row>
    <row r="25" spans="1:6" x14ac:dyDescent="0.25">
      <c r="A25" s="3" t="s">
        <v>2</v>
      </c>
      <c r="B25" s="3">
        <v>100</v>
      </c>
      <c r="C25" s="3">
        <v>1</v>
      </c>
      <c r="D25" s="3">
        <v>1216641.8030000001</v>
      </c>
      <c r="E25" s="3">
        <v>22.073</v>
      </c>
      <c r="F25" s="3">
        <v>256</v>
      </c>
    </row>
    <row r="26" spans="1:6" x14ac:dyDescent="0.25">
      <c r="A26" s="3" t="s">
        <v>2</v>
      </c>
      <c r="B26" s="3">
        <v>100</v>
      </c>
      <c r="C26" s="3">
        <v>1</v>
      </c>
      <c r="D26" s="3">
        <v>1216640.7779999999</v>
      </c>
      <c r="E26" s="3">
        <v>22.106000000000002</v>
      </c>
      <c r="F26" s="3">
        <v>260</v>
      </c>
    </row>
    <row r="27" spans="1:6" x14ac:dyDescent="0.25">
      <c r="A27" s="3" t="s">
        <v>2</v>
      </c>
      <c r="B27" s="3">
        <v>100</v>
      </c>
      <c r="C27" s="3">
        <v>1</v>
      </c>
      <c r="D27" s="3">
        <v>1216729.5430000001</v>
      </c>
      <c r="E27" s="3">
        <v>22.079000000000001</v>
      </c>
      <c r="F27" s="3">
        <v>257</v>
      </c>
    </row>
    <row r="28" spans="1:6" x14ac:dyDescent="0.25">
      <c r="A28" s="3" t="s">
        <v>2</v>
      </c>
      <c r="B28" s="3">
        <v>100</v>
      </c>
      <c r="C28" s="3">
        <v>1</v>
      </c>
      <c r="D28" s="3">
        <v>1216736.561</v>
      </c>
      <c r="E28" s="3">
        <v>22.073</v>
      </c>
      <c r="F28" s="3">
        <v>258</v>
      </c>
    </row>
    <row r="29" spans="1:6" x14ac:dyDescent="0.25">
      <c r="A29" s="3" t="s">
        <v>2</v>
      </c>
      <c r="B29" s="3">
        <v>100</v>
      </c>
      <c r="C29" s="3">
        <v>1</v>
      </c>
      <c r="D29" s="3">
        <v>1217106.2749999999</v>
      </c>
      <c r="E29" s="3">
        <v>22.097000000000001</v>
      </c>
      <c r="F29" s="3">
        <v>259</v>
      </c>
    </row>
    <row r="30" spans="1:6" x14ac:dyDescent="0.25">
      <c r="A30" s="3" t="s">
        <v>2</v>
      </c>
      <c r="B30" s="3">
        <v>100</v>
      </c>
      <c r="C30" s="3">
        <v>1</v>
      </c>
      <c r="D30" s="3">
        <v>1216636.8359999999</v>
      </c>
      <c r="E30" s="3">
        <v>22.126999999999999</v>
      </c>
      <c r="F30" s="3">
        <v>255</v>
      </c>
    </row>
    <row r="31" spans="1:6" x14ac:dyDescent="0.25">
      <c r="A31" s="3" t="s">
        <v>1</v>
      </c>
      <c r="B31" s="3">
        <v>30</v>
      </c>
      <c r="C31" s="3">
        <v>1</v>
      </c>
      <c r="D31" s="3">
        <v>20002.530999999999</v>
      </c>
      <c r="E31" s="3">
        <v>1.349</v>
      </c>
      <c r="F31" s="3">
        <v>150</v>
      </c>
    </row>
    <row r="32" spans="1:6" x14ac:dyDescent="0.25">
      <c r="A32" s="3" t="s">
        <v>1</v>
      </c>
      <c r="B32" s="3">
        <v>30</v>
      </c>
      <c r="C32" s="3">
        <v>1</v>
      </c>
      <c r="D32" s="3">
        <v>19978.968000000001</v>
      </c>
      <c r="E32" s="3">
        <v>1.35</v>
      </c>
      <c r="F32" s="3">
        <v>153</v>
      </c>
    </row>
    <row r="33" spans="1:6" x14ac:dyDescent="0.25">
      <c r="A33" s="3" t="s">
        <v>1</v>
      </c>
      <c r="B33" s="3">
        <v>30</v>
      </c>
      <c r="C33" s="3">
        <v>1</v>
      </c>
      <c r="D33" s="3">
        <v>20025.465</v>
      </c>
      <c r="E33" s="3">
        <v>1.444</v>
      </c>
      <c r="F33" s="3">
        <v>170</v>
      </c>
    </row>
    <row r="34" spans="1:6" x14ac:dyDescent="0.25">
      <c r="A34" s="3" t="s">
        <v>1</v>
      </c>
      <c r="B34" s="3">
        <v>30</v>
      </c>
      <c r="C34" s="3">
        <v>1</v>
      </c>
      <c r="D34" s="3">
        <v>20037.812999999998</v>
      </c>
      <c r="E34" s="3">
        <v>1.349</v>
      </c>
      <c r="F34" s="3">
        <v>171</v>
      </c>
    </row>
    <row r="35" spans="1:6" x14ac:dyDescent="0.25">
      <c r="A35" s="3" t="s">
        <v>1</v>
      </c>
      <c r="B35" s="3">
        <v>30</v>
      </c>
      <c r="C35" s="3">
        <v>1</v>
      </c>
      <c r="D35" s="3">
        <v>20044.460999999999</v>
      </c>
      <c r="E35" s="3">
        <v>1.347</v>
      </c>
      <c r="F35" s="3">
        <v>152</v>
      </c>
    </row>
    <row r="36" spans="1:6" x14ac:dyDescent="0.25">
      <c r="A36" s="3" t="s">
        <v>1</v>
      </c>
      <c r="B36" s="3">
        <v>30</v>
      </c>
      <c r="C36" s="3">
        <v>1</v>
      </c>
      <c r="D36" s="3">
        <v>20008.235000000001</v>
      </c>
      <c r="E36" s="3">
        <v>1.3520000000000001</v>
      </c>
      <c r="F36" s="3">
        <v>156</v>
      </c>
    </row>
    <row r="37" spans="1:6" x14ac:dyDescent="0.25">
      <c r="A37" s="3" t="s">
        <v>1</v>
      </c>
      <c r="B37" s="3">
        <v>30</v>
      </c>
      <c r="C37" s="3">
        <v>1</v>
      </c>
      <c r="D37" s="3">
        <v>20017.371999999999</v>
      </c>
      <c r="E37" s="3">
        <v>1.351</v>
      </c>
      <c r="F37" s="3">
        <v>172</v>
      </c>
    </row>
    <row r="38" spans="1:6" x14ac:dyDescent="0.25">
      <c r="A38" s="3" t="s">
        <v>1</v>
      </c>
      <c r="B38" s="3">
        <v>30</v>
      </c>
      <c r="C38" s="3">
        <v>1</v>
      </c>
      <c r="D38" s="3">
        <v>19987.281999999999</v>
      </c>
      <c r="E38" s="3">
        <v>1.35</v>
      </c>
      <c r="F38" s="3">
        <v>155</v>
      </c>
    </row>
    <row r="39" spans="1:6" x14ac:dyDescent="0.25">
      <c r="A39" s="3" t="s">
        <v>1</v>
      </c>
      <c r="B39" s="3">
        <v>30</v>
      </c>
      <c r="C39" s="3">
        <v>1</v>
      </c>
      <c r="D39" s="3">
        <v>20015.668000000001</v>
      </c>
      <c r="E39" s="3">
        <v>1.349</v>
      </c>
      <c r="F39" s="3">
        <v>163</v>
      </c>
    </row>
    <row r="40" spans="1:6" x14ac:dyDescent="0.25">
      <c r="A40" s="3" t="s">
        <v>1</v>
      </c>
      <c r="B40" s="3">
        <v>30</v>
      </c>
      <c r="C40" s="3">
        <v>1</v>
      </c>
      <c r="D40" s="3">
        <v>20018.784</v>
      </c>
      <c r="E40" s="3">
        <v>1.3520000000000001</v>
      </c>
      <c r="F40" s="3">
        <v>175</v>
      </c>
    </row>
    <row r="41" spans="1:6" x14ac:dyDescent="0.25">
      <c r="A41" s="3" t="s">
        <v>1</v>
      </c>
      <c r="B41" s="3">
        <v>50</v>
      </c>
      <c r="C41" s="3">
        <v>1</v>
      </c>
      <c r="D41" s="3">
        <v>35383.552000000003</v>
      </c>
      <c r="E41" s="3">
        <v>3.0449999999999999</v>
      </c>
      <c r="F41" s="3">
        <v>148</v>
      </c>
    </row>
    <row r="42" spans="1:6" x14ac:dyDescent="0.25">
      <c r="A42" s="3" t="s">
        <v>1</v>
      </c>
      <c r="B42" s="3">
        <v>50</v>
      </c>
      <c r="C42" s="3">
        <v>1</v>
      </c>
      <c r="D42" s="3">
        <v>35425.612000000001</v>
      </c>
      <c r="E42" s="3">
        <v>3.0339999999999998</v>
      </c>
      <c r="F42" s="3">
        <v>147</v>
      </c>
    </row>
    <row r="43" spans="1:6" x14ac:dyDescent="0.25">
      <c r="A43" s="3" t="s">
        <v>1</v>
      </c>
      <c r="B43" s="3">
        <v>50</v>
      </c>
      <c r="C43" s="3">
        <v>1</v>
      </c>
      <c r="D43" s="3">
        <v>35376.065999999999</v>
      </c>
      <c r="E43" s="3">
        <v>3.0350000000000001</v>
      </c>
      <c r="F43" s="3">
        <v>142</v>
      </c>
    </row>
    <row r="44" spans="1:6" x14ac:dyDescent="0.25">
      <c r="A44" s="3" t="s">
        <v>1</v>
      </c>
      <c r="B44" s="3">
        <v>50</v>
      </c>
      <c r="C44" s="3">
        <v>1</v>
      </c>
      <c r="D44" s="3">
        <v>35367.980000000003</v>
      </c>
      <c r="E44" s="3">
        <v>3.0350000000000001</v>
      </c>
      <c r="F44" s="3">
        <v>147</v>
      </c>
    </row>
    <row r="45" spans="1:6" x14ac:dyDescent="0.25">
      <c r="A45" s="3" t="s">
        <v>1</v>
      </c>
      <c r="B45" s="3">
        <v>50</v>
      </c>
      <c r="C45" s="3">
        <v>1</v>
      </c>
      <c r="D45" s="3">
        <v>35349.529000000002</v>
      </c>
      <c r="E45" s="3">
        <v>3.044</v>
      </c>
      <c r="F45" s="3">
        <v>141</v>
      </c>
    </row>
    <row r="46" spans="1:6" x14ac:dyDescent="0.25">
      <c r="A46" s="3" t="s">
        <v>1</v>
      </c>
      <c r="B46" s="3">
        <v>50</v>
      </c>
      <c r="C46" s="3">
        <v>1</v>
      </c>
      <c r="D46" s="3">
        <v>35407.781000000003</v>
      </c>
      <c r="E46" s="3">
        <v>3.0459999999999998</v>
      </c>
      <c r="F46" s="3">
        <v>147</v>
      </c>
    </row>
    <row r="47" spans="1:6" x14ac:dyDescent="0.25">
      <c r="A47" s="3" t="s">
        <v>1</v>
      </c>
      <c r="B47" s="3">
        <v>50</v>
      </c>
      <c r="C47" s="3">
        <v>1</v>
      </c>
      <c r="D47" s="3">
        <v>35341.89</v>
      </c>
      <c r="E47" s="3">
        <v>3.036</v>
      </c>
      <c r="F47" s="3">
        <v>144</v>
      </c>
    </row>
    <row r="48" spans="1:6" x14ac:dyDescent="0.25">
      <c r="A48" s="3" t="s">
        <v>1</v>
      </c>
      <c r="B48" s="3">
        <v>50</v>
      </c>
      <c r="C48" s="3">
        <v>1</v>
      </c>
      <c r="D48" s="3">
        <v>35355.457000000002</v>
      </c>
      <c r="E48" s="3">
        <v>3.044</v>
      </c>
      <c r="F48" s="3">
        <v>144</v>
      </c>
    </row>
    <row r="49" spans="1:6" x14ac:dyDescent="0.25">
      <c r="A49" s="3" t="s">
        <v>1</v>
      </c>
      <c r="B49" s="3">
        <v>50</v>
      </c>
      <c r="C49" s="3">
        <v>1</v>
      </c>
      <c r="D49" s="3">
        <v>35319.097000000002</v>
      </c>
      <c r="E49" s="3">
        <v>3.04</v>
      </c>
      <c r="F49" s="3">
        <v>147</v>
      </c>
    </row>
    <row r="50" spans="1:6" x14ac:dyDescent="0.25">
      <c r="A50" s="3" t="s">
        <v>1</v>
      </c>
      <c r="B50" s="3">
        <v>50</v>
      </c>
      <c r="C50" s="3">
        <v>1</v>
      </c>
      <c r="D50" s="3">
        <v>35300.116999999998</v>
      </c>
      <c r="E50" s="3">
        <v>3.0329999999999999</v>
      </c>
      <c r="F50" s="3">
        <v>145</v>
      </c>
    </row>
    <row r="51" spans="1:6" x14ac:dyDescent="0.25">
      <c r="A51" s="3" t="s">
        <v>1</v>
      </c>
      <c r="B51" s="3">
        <v>100</v>
      </c>
      <c r="C51" s="3">
        <v>1</v>
      </c>
      <c r="D51" s="3">
        <v>63185.652000000002</v>
      </c>
      <c r="E51" s="3">
        <v>11.733000000000001</v>
      </c>
      <c r="F51" s="3">
        <v>143</v>
      </c>
    </row>
    <row r="52" spans="1:6" x14ac:dyDescent="0.25">
      <c r="A52" s="3" t="s">
        <v>1</v>
      </c>
      <c r="B52" s="3">
        <v>100</v>
      </c>
      <c r="C52" s="3">
        <v>1</v>
      </c>
      <c r="D52" s="3">
        <v>63158.46</v>
      </c>
      <c r="E52" s="3">
        <v>11.734</v>
      </c>
      <c r="F52" s="3">
        <v>143</v>
      </c>
    </row>
    <row r="53" spans="1:6" x14ac:dyDescent="0.25">
      <c r="A53" s="3" t="s">
        <v>1</v>
      </c>
      <c r="B53" s="3">
        <v>100</v>
      </c>
      <c r="C53" s="3">
        <v>1</v>
      </c>
      <c r="D53" s="3">
        <v>63155.133999999998</v>
      </c>
      <c r="E53" s="3">
        <v>11.698</v>
      </c>
      <c r="F53" s="3">
        <v>144</v>
      </c>
    </row>
    <row r="54" spans="1:6" x14ac:dyDescent="0.25">
      <c r="A54" s="3" t="s">
        <v>1</v>
      </c>
      <c r="B54" s="3">
        <v>100</v>
      </c>
      <c r="C54" s="3">
        <v>1</v>
      </c>
      <c r="D54" s="3">
        <v>63093.733</v>
      </c>
      <c r="E54" s="3">
        <v>11.704000000000001</v>
      </c>
      <c r="F54" s="3">
        <v>145</v>
      </c>
    </row>
    <row r="55" spans="1:6" x14ac:dyDescent="0.25">
      <c r="A55" s="3" t="s">
        <v>1</v>
      </c>
      <c r="B55" s="3">
        <v>100</v>
      </c>
      <c r="C55" s="3">
        <v>1</v>
      </c>
      <c r="D55" s="3">
        <v>63104.67</v>
      </c>
      <c r="E55" s="3">
        <v>11.701000000000001</v>
      </c>
      <c r="F55" s="3">
        <v>146</v>
      </c>
    </row>
    <row r="56" spans="1:6" x14ac:dyDescent="0.25">
      <c r="A56" s="3" t="s">
        <v>1</v>
      </c>
      <c r="B56" s="3">
        <v>100</v>
      </c>
      <c r="C56" s="3">
        <v>1</v>
      </c>
      <c r="D56" s="3">
        <v>63167.680999999997</v>
      </c>
      <c r="E56" s="3">
        <v>11.69</v>
      </c>
      <c r="F56" s="3">
        <v>145</v>
      </c>
    </row>
    <row r="57" spans="1:6" x14ac:dyDescent="0.25">
      <c r="A57" s="3" t="s">
        <v>1</v>
      </c>
      <c r="B57" s="3">
        <v>100</v>
      </c>
      <c r="C57" s="3">
        <v>1</v>
      </c>
      <c r="D57" s="3">
        <v>63119.495000000003</v>
      </c>
      <c r="E57" s="3">
        <v>11.718</v>
      </c>
      <c r="F57" s="3">
        <v>144</v>
      </c>
    </row>
    <row r="58" spans="1:6" x14ac:dyDescent="0.25">
      <c r="A58" s="3" t="s">
        <v>1</v>
      </c>
      <c r="B58" s="3">
        <v>100</v>
      </c>
      <c r="C58" s="3">
        <v>1</v>
      </c>
      <c r="D58" s="3">
        <v>63075.688999999998</v>
      </c>
      <c r="E58" s="3">
        <v>11.731999999999999</v>
      </c>
      <c r="F58" s="3">
        <v>143</v>
      </c>
    </row>
    <row r="59" spans="1:6" x14ac:dyDescent="0.25">
      <c r="A59" s="3" t="s">
        <v>1</v>
      </c>
      <c r="B59" s="3">
        <v>100</v>
      </c>
      <c r="C59" s="3">
        <v>1</v>
      </c>
      <c r="D59" s="3">
        <v>63218.550999999999</v>
      </c>
      <c r="E59" s="3">
        <v>11.677</v>
      </c>
      <c r="F59" s="3">
        <v>144</v>
      </c>
    </row>
    <row r="60" spans="1:6" x14ac:dyDescent="0.25">
      <c r="A60" s="3" t="s">
        <v>1</v>
      </c>
      <c r="B60" s="3">
        <v>100</v>
      </c>
      <c r="C60" s="3">
        <v>1</v>
      </c>
      <c r="D60" s="3">
        <v>63135.309000000001</v>
      </c>
      <c r="E60" s="3">
        <v>11.68</v>
      </c>
      <c r="F60" s="3">
        <v>143</v>
      </c>
    </row>
    <row r="61" spans="1:6" x14ac:dyDescent="0.25">
      <c r="A61" s="3" t="s">
        <v>0</v>
      </c>
      <c r="B61" s="3">
        <v>25</v>
      </c>
      <c r="C61" s="3">
        <v>1</v>
      </c>
      <c r="D61" s="3">
        <v>723.57100000000003</v>
      </c>
      <c r="E61" s="3">
        <v>0.90200000000000002</v>
      </c>
      <c r="F61" s="3">
        <v>135</v>
      </c>
    </row>
    <row r="62" spans="1:6" x14ac:dyDescent="0.25">
      <c r="A62" s="3" t="s">
        <v>0</v>
      </c>
      <c r="B62" s="3">
        <v>25</v>
      </c>
      <c r="C62" s="3">
        <v>1</v>
      </c>
      <c r="D62" s="3">
        <v>723.71500000000003</v>
      </c>
      <c r="E62" s="3">
        <v>0.90500000000000003</v>
      </c>
      <c r="F62" s="3">
        <v>145</v>
      </c>
    </row>
    <row r="63" spans="1:6" x14ac:dyDescent="0.25">
      <c r="A63" s="3" t="s">
        <v>0</v>
      </c>
      <c r="B63" s="3">
        <v>25</v>
      </c>
      <c r="C63" s="3">
        <v>1</v>
      </c>
      <c r="D63" s="3">
        <v>722.99800000000005</v>
      </c>
      <c r="E63" s="3">
        <v>0.90500000000000003</v>
      </c>
      <c r="F63" s="3">
        <v>133</v>
      </c>
    </row>
    <row r="64" spans="1:6" x14ac:dyDescent="0.25">
      <c r="A64" s="3" t="s">
        <v>0</v>
      </c>
      <c r="B64" s="3">
        <v>25</v>
      </c>
      <c r="C64" s="3">
        <v>1</v>
      </c>
      <c r="D64" s="3">
        <v>722.96500000000003</v>
      </c>
      <c r="E64" s="3">
        <v>0.90300000000000002</v>
      </c>
      <c r="F64" s="3">
        <v>162</v>
      </c>
    </row>
    <row r="65" spans="1:6" x14ac:dyDescent="0.25">
      <c r="A65" s="3" t="s">
        <v>0</v>
      </c>
      <c r="B65" s="3">
        <v>25</v>
      </c>
      <c r="C65" s="3">
        <v>1</v>
      </c>
      <c r="D65" s="3">
        <v>723.053</v>
      </c>
      <c r="E65" s="3">
        <v>0.90500000000000003</v>
      </c>
      <c r="F65" s="3">
        <v>136</v>
      </c>
    </row>
    <row r="66" spans="1:6" x14ac:dyDescent="0.25">
      <c r="A66" s="3" t="s">
        <v>0</v>
      </c>
      <c r="B66" s="3">
        <v>25</v>
      </c>
      <c r="C66" s="3">
        <v>1</v>
      </c>
      <c r="D66" s="3">
        <v>723.06200000000001</v>
      </c>
      <c r="E66" s="3">
        <v>0.90200000000000002</v>
      </c>
      <c r="F66" s="3">
        <v>145</v>
      </c>
    </row>
    <row r="67" spans="1:6" x14ac:dyDescent="0.25">
      <c r="A67" s="3" t="s">
        <v>0</v>
      </c>
      <c r="B67" s="3">
        <v>25</v>
      </c>
      <c r="C67" s="3">
        <v>1</v>
      </c>
      <c r="D67" s="3">
        <v>723.755</v>
      </c>
      <c r="E67" s="3">
        <v>0.90100000000000002</v>
      </c>
      <c r="F67" s="3">
        <v>123</v>
      </c>
    </row>
    <row r="68" spans="1:6" x14ac:dyDescent="0.25">
      <c r="A68" s="3" t="s">
        <v>0</v>
      </c>
      <c r="B68" s="3">
        <v>25</v>
      </c>
      <c r="C68" s="3">
        <v>1</v>
      </c>
      <c r="D68" s="3">
        <v>723.64800000000002</v>
      </c>
      <c r="E68" s="3">
        <v>0.90600000000000003</v>
      </c>
      <c r="F68" s="3">
        <v>153</v>
      </c>
    </row>
    <row r="69" spans="1:6" x14ac:dyDescent="0.25">
      <c r="A69" s="3" t="s">
        <v>0</v>
      </c>
      <c r="B69" s="3">
        <v>25</v>
      </c>
      <c r="C69" s="3">
        <v>1</v>
      </c>
      <c r="D69" s="3">
        <v>723.31899999999996</v>
      </c>
      <c r="E69" s="3">
        <v>0.90400000000000003</v>
      </c>
      <c r="F69" s="3">
        <v>123</v>
      </c>
    </row>
    <row r="70" spans="1:6" x14ac:dyDescent="0.25">
      <c r="A70" s="3" t="s">
        <v>0</v>
      </c>
      <c r="B70" s="3">
        <v>25</v>
      </c>
      <c r="C70" s="3">
        <v>1</v>
      </c>
      <c r="D70" s="3">
        <v>723.57299999999998</v>
      </c>
      <c r="E70" s="3">
        <v>0.90500000000000003</v>
      </c>
      <c r="F70" s="3">
        <v>150</v>
      </c>
    </row>
    <row r="71" spans="1:6" x14ac:dyDescent="0.25">
      <c r="A71" s="3" t="s">
        <v>0</v>
      </c>
      <c r="B71" s="3">
        <v>50</v>
      </c>
      <c r="C71" s="3">
        <v>1</v>
      </c>
      <c r="D71" s="3">
        <v>1571.925</v>
      </c>
      <c r="E71" s="3">
        <v>3.3730000000000002</v>
      </c>
      <c r="F71" s="3">
        <v>176</v>
      </c>
    </row>
    <row r="72" spans="1:6" x14ac:dyDescent="0.25">
      <c r="A72" s="3" t="s">
        <v>0</v>
      </c>
      <c r="B72" s="3">
        <v>50</v>
      </c>
      <c r="C72" s="3">
        <v>1</v>
      </c>
      <c r="D72" s="3">
        <v>1571.539</v>
      </c>
      <c r="E72" s="3">
        <v>3.3769999999999998</v>
      </c>
      <c r="F72" s="3">
        <v>175</v>
      </c>
    </row>
    <row r="73" spans="1:6" x14ac:dyDescent="0.25">
      <c r="A73" s="3" t="s">
        <v>0</v>
      </c>
      <c r="B73" s="3">
        <v>50</v>
      </c>
      <c r="C73" s="3">
        <v>1</v>
      </c>
      <c r="D73" s="3">
        <v>1573.1410000000001</v>
      </c>
      <c r="E73" s="3">
        <v>3.3820000000000001</v>
      </c>
      <c r="F73" s="3">
        <v>168</v>
      </c>
    </row>
    <row r="74" spans="1:6" x14ac:dyDescent="0.25">
      <c r="A74" s="3" t="s">
        <v>0</v>
      </c>
      <c r="B74" s="3">
        <v>50</v>
      </c>
      <c r="C74" s="3">
        <v>1</v>
      </c>
      <c r="D74" s="3">
        <v>1572.2460000000001</v>
      </c>
      <c r="E74" s="3">
        <v>3.38</v>
      </c>
      <c r="F74" s="3">
        <v>156</v>
      </c>
    </row>
    <row r="75" spans="1:6" x14ac:dyDescent="0.25">
      <c r="A75" s="3" t="s">
        <v>0</v>
      </c>
      <c r="B75" s="3">
        <v>50</v>
      </c>
      <c r="C75" s="3">
        <v>1</v>
      </c>
      <c r="D75" s="3">
        <v>1571.98</v>
      </c>
      <c r="E75" s="3">
        <v>3.38</v>
      </c>
      <c r="F75" s="3">
        <v>171</v>
      </c>
    </row>
    <row r="76" spans="1:6" x14ac:dyDescent="0.25">
      <c r="A76" s="3" t="s">
        <v>0</v>
      </c>
      <c r="B76" s="3">
        <v>50</v>
      </c>
      <c r="C76" s="3">
        <v>1</v>
      </c>
      <c r="D76" s="3">
        <v>1571.3150000000001</v>
      </c>
      <c r="E76" s="3">
        <v>3.3769999999999998</v>
      </c>
      <c r="F76" s="3">
        <v>171</v>
      </c>
    </row>
    <row r="77" spans="1:6" x14ac:dyDescent="0.25">
      <c r="A77" s="3" t="s">
        <v>0</v>
      </c>
      <c r="B77" s="3">
        <v>50</v>
      </c>
      <c r="C77" s="3">
        <v>1</v>
      </c>
      <c r="D77" s="3">
        <v>1571.029</v>
      </c>
      <c r="E77" s="3">
        <v>3.3719999999999999</v>
      </c>
      <c r="F77" s="3">
        <v>163</v>
      </c>
    </row>
    <row r="78" spans="1:6" x14ac:dyDescent="0.25">
      <c r="A78" s="3" t="s">
        <v>0</v>
      </c>
      <c r="B78" s="3">
        <v>50</v>
      </c>
      <c r="C78" s="3">
        <v>1</v>
      </c>
      <c r="D78" s="3">
        <v>1572.144</v>
      </c>
      <c r="E78" s="3">
        <v>3.4</v>
      </c>
      <c r="F78" s="3">
        <v>171</v>
      </c>
    </row>
    <row r="79" spans="1:6" x14ac:dyDescent="0.25">
      <c r="A79" s="3" t="s">
        <v>0</v>
      </c>
      <c r="B79" s="3">
        <v>50</v>
      </c>
      <c r="C79" s="3">
        <v>1</v>
      </c>
      <c r="D79" s="3">
        <v>1572.221</v>
      </c>
      <c r="E79" s="3">
        <v>3.375</v>
      </c>
      <c r="F79" s="3">
        <v>169</v>
      </c>
    </row>
    <row r="80" spans="1:6" x14ac:dyDescent="0.25">
      <c r="A80" s="3" t="s">
        <v>0</v>
      </c>
      <c r="B80" s="3">
        <v>50</v>
      </c>
      <c r="C80" s="3">
        <v>1</v>
      </c>
      <c r="D80" s="3">
        <v>1570.953</v>
      </c>
      <c r="E80" s="3">
        <v>3.375</v>
      </c>
      <c r="F80" s="3">
        <v>170</v>
      </c>
    </row>
    <row r="81" spans="1:6" x14ac:dyDescent="0.25">
      <c r="A81" s="3" t="s">
        <v>0</v>
      </c>
      <c r="B81" s="3">
        <v>100</v>
      </c>
      <c r="C81" s="3">
        <v>1</v>
      </c>
      <c r="D81" s="3">
        <v>3322.259</v>
      </c>
      <c r="E81" s="3">
        <v>11.33</v>
      </c>
      <c r="F81" s="3">
        <v>139</v>
      </c>
    </row>
    <row r="82" spans="1:6" x14ac:dyDescent="0.25">
      <c r="A82" s="3" t="s">
        <v>0</v>
      </c>
      <c r="B82" s="3">
        <v>100</v>
      </c>
      <c r="C82" s="3">
        <v>1</v>
      </c>
      <c r="D82" s="3">
        <v>3317.6129999999998</v>
      </c>
      <c r="E82" s="3">
        <v>11.361000000000001</v>
      </c>
      <c r="F82" s="3">
        <v>139</v>
      </c>
    </row>
    <row r="83" spans="1:6" x14ac:dyDescent="0.25">
      <c r="A83" s="3" t="s">
        <v>0</v>
      </c>
      <c r="B83" s="3">
        <v>100</v>
      </c>
      <c r="C83" s="3">
        <v>1</v>
      </c>
      <c r="D83" s="3">
        <v>3290.5720000000001</v>
      </c>
      <c r="E83" s="3">
        <v>11.355</v>
      </c>
      <c r="F83" s="3">
        <v>142</v>
      </c>
    </row>
    <row r="84" spans="1:6" x14ac:dyDescent="0.25">
      <c r="A84" s="3" t="s">
        <v>0</v>
      </c>
      <c r="B84" s="3">
        <v>100</v>
      </c>
      <c r="C84" s="3">
        <v>1</v>
      </c>
      <c r="D84" s="3">
        <v>3294.1729999999998</v>
      </c>
      <c r="E84" s="3">
        <v>11.31</v>
      </c>
      <c r="F84" s="3">
        <v>140</v>
      </c>
    </row>
    <row r="85" spans="1:6" x14ac:dyDescent="0.25">
      <c r="A85" s="3" t="s">
        <v>0</v>
      </c>
      <c r="B85" s="3">
        <v>100</v>
      </c>
      <c r="C85" s="3">
        <v>1</v>
      </c>
      <c r="D85" s="3">
        <v>3295.0239999999999</v>
      </c>
      <c r="E85" s="3">
        <v>11.329000000000001</v>
      </c>
      <c r="F85" s="3">
        <v>141</v>
      </c>
    </row>
    <row r="86" spans="1:6" x14ac:dyDescent="0.25">
      <c r="A86" s="3" t="s">
        <v>0</v>
      </c>
      <c r="B86" s="3">
        <v>100</v>
      </c>
      <c r="C86" s="3">
        <v>1</v>
      </c>
      <c r="D86" s="3">
        <v>3318.4760000000001</v>
      </c>
      <c r="E86" s="3">
        <v>11.33</v>
      </c>
      <c r="F86" s="3">
        <v>138</v>
      </c>
    </row>
    <row r="87" spans="1:6" x14ac:dyDescent="0.25">
      <c r="A87" s="3" t="s">
        <v>0</v>
      </c>
      <c r="B87" s="3">
        <v>100</v>
      </c>
      <c r="C87" s="3">
        <v>1</v>
      </c>
      <c r="D87" s="3">
        <v>3297.924</v>
      </c>
      <c r="E87" s="3">
        <v>11.319000000000001</v>
      </c>
      <c r="F87" s="3">
        <v>139</v>
      </c>
    </row>
    <row r="88" spans="1:6" x14ac:dyDescent="0.25">
      <c r="A88" s="3" t="s">
        <v>0</v>
      </c>
      <c r="B88" s="3">
        <v>100</v>
      </c>
      <c r="C88" s="3">
        <v>1</v>
      </c>
      <c r="D88" s="3">
        <v>3292.7820000000002</v>
      </c>
      <c r="E88" s="3">
        <v>11.358000000000001</v>
      </c>
      <c r="F88" s="3">
        <v>142</v>
      </c>
    </row>
    <row r="89" spans="1:6" x14ac:dyDescent="0.25">
      <c r="A89" s="3" t="s">
        <v>0</v>
      </c>
      <c r="B89" s="3">
        <v>100</v>
      </c>
      <c r="C89" s="3">
        <v>1</v>
      </c>
      <c r="D89" s="3">
        <v>3293.3409999999999</v>
      </c>
      <c r="E89" s="3">
        <v>11.321</v>
      </c>
      <c r="F89" s="3">
        <v>139</v>
      </c>
    </row>
    <row r="90" spans="1:6" x14ac:dyDescent="0.25">
      <c r="A90" s="3" t="s">
        <v>0</v>
      </c>
      <c r="B90" s="3">
        <v>100</v>
      </c>
      <c r="C90" s="3">
        <v>1</v>
      </c>
      <c r="D90" s="3">
        <v>3292.701</v>
      </c>
      <c r="E90" s="3">
        <v>11.311</v>
      </c>
      <c r="F90" s="3">
        <v>139</v>
      </c>
    </row>
  </sheetData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0"/>
  <sheetViews>
    <sheetView zoomScale="85" zoomScaleNormal="85" workbookViewId="0">
      <selection sqref="A1:F91"/>
    </sheetView>
  </sheetViews>
  <sheetFormatPr defaultColWidth="9" defaultRowHeight="15" x14ac:dyDescent="0.25"/>
  <cols>
    <col min="1" max="1" width="9.75" style="3" customWidth="1"/>
    <col min="2" max="2" width="3.625" style="3" customWidth="1"/>
    <col min="3" max="3" width="2.625" style="3" bestFit="1" customWidth="1"/>
    <col min="4" max="4" width="9" style="3"/>
    <col min="5" max="5" width="7" style="3" bestFit="1" customWidth="1"/>
    <col min="6" max="6" width="4.375" style="3" bestFit="1" customWidth="1"/>
    <col min="7" max="7" width="2.875" style="3" customWidth="1"/>
    <col min="8" max="8" width="10.125" style="3" customWidth="1"/>
    <col min="9" max="9" width="4.375" style="3" bestFit="1" customWidth="1"/>
    <col min="10" max="10" width="4.5" style="3" bestFit="1" customWidth="1"/>
    <col min="11" max="11" width="2.625" style="3" customWidth="1"/>
    <col min="12" max="21" width="9" style="3"/>
    <col min="22" max="22" width="2.125" style="3" customWidth="1"/>
    <col min="23" max="23" width="9" style="3"/>
    <col min="24" max="24" width="2.5" style="3" customWidth="1"/>
    <col min="25" max="25" width="9" style="3"/>
    <col min="26" max="27" width="2.375" style="3" customWidth="1"/>
    <col min="28" max="37" width="9" style="3"/>
    <col min="38" max="38" width="5.625" style="3" customWidth="1"/>
    <col min="39" max="16384" width="9" style="3"/>
  </cols>
  <sheetData>
    <row r="1" spans="1:39" x14ac:dyDescent="0.25">
      <c r="A1" s="3" t="s">
        <v>2</v>
      </c>
      <c r="B1" s="3">
        <v>24</v>
      </c>
      <c r="C1" s="3">
        <v>1</v>
      </c>
      <c r="D1" s="3">
        <v>55952.330999999998</v>
      </c>
      <c r="E1" s="3">
        <v>1.2390000000000001</v>
      </c>
      <c r="F1" s="3">
        <v>190</v>
      </c>
      <c r="H1" s="5" t="s">
        <v>13</v>
      </c>
      <c r="I1" s="5" t="s">
        <v>14</v>
      </c>
      <c r="J1" s="5" t="s">
        <v>10</v>
      </c>
      <c r="K1" s="2"/>
      <c r="L1" s="2">
        <v>1</v>
      </c>
      <c r="M1" s="2">
        <v>2</v>
      </c>
      <c r="N1" s="2">
        <v>3</v>
      </c>
      <c r="O1" s="2">
        <v>4</v>
      </c>
      <c r="P1" s="2">
        <v>5</v>
      </c>
      <c r="Q1" s="2">
        <v>6</v>
      </c>
      <c r="R1" s="2">
        <v>7</v>
      </c>
      <c r="S1" s="2">
        <v>8</v>
      </c>
      <c r="T1" s="2">
        <v>9</v>
      </c>
      <c r="U1" s="2">
        <v>10</v>
      </c>
      <c r="W1" s="2" t="s">
        <v>11</v>
      </c>
      <c r="X1" s="2"/>
      <c r="Y1" s="2" t="s">
        <v>9</v>
      </c>
      <c r="Z1" s="2"/>
      <c r="AM1" s="5" t="s">
        <v>12</v>
      </c>
    </row>
    <row r="2" spans="1:39" x14ac:dyDescent="0.25">
      <c r="A2" s="3" t="s">
        <v>2</v>
      </c>
      <c r="B2" s="3">
        <v>24</v>
      </c>
      <c r="C2" s="3">
        <v>1</v>
      </c>
      <c r="D2" s="3">
        <v>56023.08</v>
      </c>
      <c r="E2" s="3">
        <v>1.24</v>
      </c>
      <c r="F2" s="3">
        <v>208</v>
      </c>
      <c r="H2" s="3" t="s">
        <v>2</v>
      </c>
      <c r="I2" s="3">
        <v>24</v>
      </c>
      <c r="J2" s="3">
        <v>1</v>
      </c>
      <c r="L2" s="3">
        <f ca="1">INDIRECT("D"&amp;1+(ROW(D1)-1)*10+COLUMN(A1)-1)</f>
        <v>55952.330999999998</v>
      </c>
      <c r="M2" s="3">
        <f t="shared" ref="M2:U10" ca="1" si="0">INDIRECT("D"&amp;1+(ROW(E1)-1)*10+COLUMN(B1)-1)</f>
        <v>56023.08</v>
      </c>
      <c r="N2" s="3">
        <f t="shared" ca="1" si="0"/>
        <v>55980.77</v>
      </c>
      <c r="O2" s="3">
        <f t="shared" ca="1" si="0"/>
        <v>55980.328000000001</v>
      </c>
      <c r="P2" s="3">
        <f t="shared" ca="1" si="0"/>
        <v>55985.589</v>
      </c>
      <c r="Q2" s="3">
        <f t="shared" ca="1" si="0"/>
        <v>56000.463000000003</v>
      </c>
      <c r="R2" s="3">
        <f t="shared" ca="1" si="0"/>
        <v>55981.192000000003</v>
      </c>
      <c r="S2" s="3">
        <f t="shared" ca="1" si="0"/>
        <v>56020.887999999999</v>
      </c>
      <c r="T2" s="3">
        <f t="shared" ca="1" si="0"/>
        <v>55987.86</v>
      </c>
      <c r="U2" s="3">
        <f t="shared" ca="1" si="0"/>
        <v>55960.775000000001</v>
      </c>
      <c r="W2" s="3">
        <f ca="1">AVERAGE(L2:U2)</f>
        <v>55987.327599999997</v>
      </c>
      <c r="Y2" s="3">
        <f ca="1">Total!E2</f>
        <v>55722.476000000002</v>
      </c>
      <c r="AB2" s="3">
        <f t="shared" ref="AB2:AK10" ca="1" si="1">(L2-$Y2)/$Y2</f>
        <v>4.1249961685118934E-3</v>
      </c>
      <c r="AC2" s="3">
        <f t="shared" ca="1" si="1"/>
        <v>5.3946633670764977E-3</v>
      </c>
      <c r="AD2" s="3">
        <f t="shared" ca="1" si="1"/>
        <v>4.6353647314594272E-3</v>
      </c>
      <c r="AE2" s="3">
        <f t="shared" ca="1" si="1"/>
        <v>4.6274325641954411E-3</v>
      </c>
      <c r="AF2" s="3">
        <f t="shared" ca="1" si="1"/>
        <v>4.7218468899335618E-3</v>
      </c>
      <c r="AG2" s="3">
        <f t="shared" ca="1" si="1"/>
        <v>4.9887768806253507E-3</v>
      </c>
      <c r="AH2" s="3">
        <f t="shared" ca="1" si="1"/>
        <v>4.6429379771279426E-3</v>
      </c>
      <c r="AI2" s="3">
        <f t="shared" ca="1" si="1"/>
        <v>5.3553255601922036E-3</v>
      </c>
      <c r="AJ2" s="3">
        <f t="shared" ca="1" si="1"/>
        <v>4.7626024371206725E-3</v>
      </c>
      <c r="AK2" s="3">
        <f t="shared" ca="1" si="1"/>
        <v>4.2765328661992525E-3</v>
      </c>
      <c r="AM2" s="3">
        <f ca="1">SUM(AB2:AK2)</f>
        <v>4.7530479442442243E-2</v>
      </c>
    </row>
    <row r="3" spans="1:39" x14ac:dyDescent="0.25">
      <c r="A3" s="3" t="s">
        <v>2</v>
      </c>
      <c r="B3" s="3">
        <v>24</v>
      </c>
      <c r="C3" s="3">
        <v>1</v>
      </c>
      <c r="D3" s="3">
        <v>55980.77</v>
      </c>
      <c r="E3" s="3">
        <v>1.2390000000000001</v>
      </c>
      <c r="F3" s="3">
        <v>221</v>
      </c>
      <c r="H3" s="3" t="s">
        <v>2</v>
      </c>
      <c r="I3" s="3">
        <v>47</v>
      </c>
      <c r="J3" s="3">
        <v>1</v>
      </c>
      <c r="L3" s="3">
        <f t="shared" ref="L3:L10" ca="1" si="2">INDIRECT("D"&amp;1+(ROW(D2)-1)*10+COLUMN(A2)-1)</f>
        <v>126395.833</v>
      </c>
      <c r="M3" s="3">
        <f t="shared" ca="1" si="0"/>
        <v>126170.549</v>
      </c>
      <c r="N3" s="3">
        <f t="shared" ca="1" si="0"/>
        <v>126203.14200000001</v>
      </c>
      <c r="O3" s="3">
        <f t="shared" ca="1" si="0"/>
        <v>126232.58100000001</v>
      </c>
      <c r="P3" s="3">
        <f t="shared" ca="1" si="0"/>
        <v>126250.45699999999</v>
      </c>
      <c r="Q3" s="3">
        <f t="shared" ca="1" si="0"/>
        <v>126220.41099999999</v>
      </c>
      <c r="R3" s="3">
        <f t="shared" ca="1" si="0"/>
        <v>126323.781</v>
      </c>
      <c r="S3" s="3">
        <f t="shared" ca="1" si="0"/>
        <v>126277.08500000001</v>
      </c>
      <c r="T3" s="3">
        <f t="shared" ca="1" si="0"/>
        <v>126224.84699999999</v>
      </c>
      <c r="U3" s="3">
        <f t="shared" ca="1" si="0"/>
        <v>126220.723</v>
      </c>
      <c r="W3" s="3">
        <f t="shared" ref="W3:W10" ca="1" si="3">AVERAGE(L3:U3)</f>
        <v>126251.94089999997</v>
      </c>
      <c r="Y3" s="3">
        <f ca="1">Total!E3</f>
        <v>126021.209</v>
      </c>
      <c r="AB3" s="3">
        <f t="shared" ca="1" si="1"/>
        <v>2.9727059672947287E-3</v>
      </c>
      <c r="AC3" s="3">
        <f t="shared" ca="1" si="1"/>
        <v>1.1850386231415737E-3</v>
      </c>
      <c r="AD3" s="3">
        <f t="shared" ca="1" si="1"/>
        <v>1.4436696921389203E-3</v>
      </c>
      <c r="AE3" s="3">
        <f t="shared" ca="1" si="1"/>
        <v>1.6772732278739131E-3</v>
      </c>
      <c r="AF3" s="3">
        <f t="shared" ca="1" si="1"/>
        <v>1.8191223669342222E-3</v>
      </c>
      <c r="AG3" s="3">
        <f t="shared" ca="1" si="1"/>
        <v>1.5807021816461879E-3</v>
      </c>
      <c r="AH3" s="3">
        <f t="shared" ca="1" si="1"/>
        <v>2.4009609366626543E-3</v>
      </c>
      <c r="AI3" s="3">
        <f t="shared" ca="1" si="1"/>
        <v>2.0304201334872436E-3</v>
      </c>
      <c r="AJ3" s="3">
        <f t="shared" ca="1" si="1"/>
        <v>1.6159026057271974E-3</v>
      </c>
      <c r="AK3" s="3">
        <f t="shared" ca="1" si="1"/>
        <v>1.5831779553868235E-3</v>
      </c>
      <c r="AM3" s="3">
        <f t="shared" ref="AM3:AM10" ca="1" si="4">SUM(AB3:AK3)</f>
        <v>1.8308973690293464E-2</v>
      </c>
    </row>
    <row r="4" spans="1:39" x14ac:dyDescent="0.25">
      <c r="A4" s="3" t="s">
        <v>2</v>
      </c>
      <c r="B4" s="3">
        <v>24</v>
      </c>
      <c r="C4" s="3">
        <v>1</v>
      </c>
      <c r="D4" s="3">
        <v>55980.328000000001</v>
      </c>
      <c r="E4" s="3">
        <v>1.2390000000000001</v>
      </c>
      <c r="F4" s="3">
        <v>214</v>
      </c>
      <c r="H4" s="3" t="s">
        <v>2</v>
      </c>
      <c r="I4" s="3">
        <v>100</v>
      </c>
      <c r="J4" s="3">
        <v>1</v>
      </c>
      <c r="L4" s="3">
        <f t="shared" ca="1" si="2"/>
        <v>1216691.014</v>
      </c>
      <c r="M4" s="3">
        <f t="shared" ca="1" si="0"/>
        <v>1217519.9669999999</v>
      </c>
      <c r="N4" s="3">
        <f t="shared" ca="1" si="0"/>
        <v>1217185.5349999999</v>
      </c>
      <c r="O4" s="3">
        <f t="shared" ca="1" si="0"/>
        <v>1216764.398</v>
      </c>
      <c r="P4" s="3">
        <f t="shared" ca="1" si="0"/>
        <v>1217435.8430000001</v>
      </c>
      <c r="Q4" s="3">
        <f t="shared" ca="1" si="0"/>
        <v>1216771.517</v>
      </c>
      <c r="R4" s="3">
        <f t="shared" ca="1" si="0"/>
        <v>1216722.284</v>
      </c>
      <c r="S4" s="3">
        <f t="shared" ca="1" si="0"/>
        <v>1216995.443</v>
      </c>
      <c r="T4" s="3">
        <f t="shared" ca="1" si="0"/>
        <v>1216866.5179999999</v>
      </c>
      <c r="U4" s="3">
        <f t="shared" ca="1" si="0"/>
        <v>1216625.088</v>
      </c>
      <c r="W4" s="3">
        <f t="shared" ca="1" si="3"/>
        <v>1216957.7607</v>
      </c>
      <c r="Y4" s="3">
        <f ca="1">Total!E4</f>
        <v>1216556.6340000001</v>
      </c>
      <c r="AB4" s="3">
        <f t="shared" ca="1" si="1"/>
        <v>1.1045930476582172E-4</v>
      </c>
      <c r="AC4" s="3">
        <f t="shared" ca="1" si="1"/>
        <v>7.9185216131900005E-4</v>
      </c>
      <c r="AD4" s="3">
        <f t="shared" ca="1" si="1"/>
        <v>5.1695168348392558E-4</v>
      </c>
      <c r="AE4" s="3">
        <f t="shared" ca="1" si="1"/>
        <v>1.7078037650976012E-4</v>
      </c>
      <c r="AF4" s="3">
        <f t="shared" ca="1" si="1"/>
        <v>7.2270289391232045E-4</v>
      </c>
      <c r="AG4" s="3">
        <f t="shared" ca="1" si="1"/>
        <v>1.7663213860696789E-4</v>
      </c>
      <c r="AH4" s="3">
        <f t="shared" ca="1" si="1"/>
        <v>1.3616299921463982E-4</v>
      </c>
      <c r="AI4" s="3">
        <f t="shared" ca="1" si="1"/>
        <v>3.6069755220281174E-4</v>
      </c>
      <c r="AJ4" s="3">
        <f t="shared" ca="1" si="1"/>
        <v>2.5472221460085795E-4</v>
      </c>
      <c r="AK4" s="3">
        <f t="shared" ca="1" si="1"/>
        <v>5.6268650457180926E-5</v>
      </c>
      <c r="AM4" s="3">
        <f t="shared" ca="1" si="4"/>
        <v>3.2972299750732865E-3</v>
      </c>
    </row>
    <row r="5" spans="1:39" x14ac:dyDescent="0.25">
      <c r="A5" s="3" t="s">
        <v>2</v>
      </c>
      <c r="B5" s="3">
        <v>24</v>
      </c>
      <c r="C5" s="3">
        <v>1</v>
      </c>
      <c r="D5" s="3">
        <v>55985.589</v>
      </c>
      <c r="E5" s="3">
        <v>1.2350000000000001</v>
      </c>
      <c r="F5" s="3">
        <v>190</v>
      </c>
      <c r="H5" s="3" t="s">
        <v>1</v>
      </c>
      <c r="I5" s="3">
        <v>30</v>
      </c>
      <c r="J5" s="3">
        <v>1</v>
      </c>
      <c r="L5" s="3">
        <f t="shared" ca="1" si="2"/>
        <v>20002.135999999999</v>
      </c>
      <c r="M5" s="3">
        <f t="shared" ca="1" si="0"/>
        <v>19994.381000000001</v>
      </c>
      <c r="N5" s="3">
        <f t="shared" ca="1" si="0"/>
        <v>20014.881000000001</v>
      </c>
      <c r="O5" s="3">
        <f t="shared" ca="1" si="0"/>
        <v>20004.848000000002</v>
      </c>
      <c r="P5" s="3">
        <f t="shared" ca="1" si="0"/>
        <v>19993.907999999999</v>
      </c>
      <c r="Q5" s="3">
        <f t="shared" ca="1" si="0"/>
        <v>20003.776000000002</v>
      </c>
      <c r="R5" s="3">
        <f t="shared" ca="1" si="0"/>
        <v>20001.021000000001</v>
      </c>
      <c r="S5" s="3">
        <f t="shared" ca="1" si="0"/>
        <v>20097.092000000001</v>
      </c>
      <c r="T5" s="3">
        <f t="shared" ca="1" si="0"/>
        <v>20055.224999999999</v>
      </c>
      <c r="U5" s="3">
        <f t="shared" ca="1" si="0"/>
        <v>20013.440999999999</v>
      </c>
      <c r="W5" s="3">
        <f t="shared" ca="1" si="3"/>
        <v>20018.070899999999</v>
      </c>
      <c r="Y5" s="3">
        <f ca="1">Total!E5</f>
        <v>19969.536</v>
      </c>
      <c r="AB5" s="3">
        <f t="shared" ca="1" si="1"/>
        <v>1.6324866035945225E-3</v>
      </c>
      <c r="AC5" s="3">
        <f t="shared" ca="1" si="1"/>
        <v>1.2441450817886387E-3</v>
      </c>
      <c r="AD5" s="3">
        <f t="shared" ca="1" si="1"/>
        <v>2.270708743558246E-3</v>
      </c>
      <c r="AE5" s="3">
        <f t="shared" ca="1" si="1"/>
        <v>1.7682934646053728E-3</v>
      </c>
      <c r="AF5" s="3">
        <f t="shared" ca="1" si="1"/>
        <v>1.220459003153573E-3</v>
      </c>
      <c r="AG5" s="3">
        <f t="shared" ca="1" si="1"/>
        <v>1.714611696536244E-3</v>
      </c>
      <c r="AH5" s="3">
        <f t="shared" ca="1" si="1"/>
        <v>1.5766515556495946E-3</v>
      </c>
      <c r="AI5" s="3">
        <f t="shared" ca="1" si="1"/>
        <v>6.387529484911442E-3</v>
      </c>
      <c r="AJ5" s="3">
        <f t="shared" ca="1" si="1"/>
        <v>4.2909860299206997E-3</v>
      </c>
      <c r="AK5" s="3">
        <f t="shared" ca="1" si="1"/>
        <v>2.1985989058533376E-3</v>
      </c>
      <c r="AM5" s="3">
        <f t="shared" ca="1" si="4"/>
        <v>2.4304470569571673E-2</v>
      </c>
    </row>
    <row r="6" spans="1:39" x14ac:dyDescent="0.25">
      <c r="A6" s="3" t="s">
        <v>2</v>
      </c>
      <c r="B6" s="3">
        <v>24</v>
      </c>
      <c r="C6" s="3">
        <v>1</v>
      </c>
      <c r="D6" s="3">
        <v>56000.463000000003</v>
      </c>
      <c r="E6" s="3">
        <v>1.2350000000000001</v>
      </c>
      <c r="F6" s="3">
        <v>223</v>
      </c>
      <c r="H6" s="3" t="s">
        <v>1</v>
      </c>
      <c r="I6" s="3">
        <v>50</v>
      </c>
      <c r="J6" s="3">
        <v>1</v>
      </c>
      <c r="L6" s="3">
        <f t="shared" ca="1" si="2"/>
        <v>35340.394</v>
      </c>
      <c r="M6" s="3">
        <f t="shared" ca="1" si="0"/>
        <v>35359.773999999998</v>
      </c>
      <c r="N6" s="3">
        <f t="shared" ca="1" si="0"/>
        <v>35389.400999999998</v>
      </c>
      <c r="O6" s="3">
        <f t="shared" ca="1" si="0"/>
        <v>35342.408000000003</v>
      </c>
      <c r="P6" s="3">
        <f t="shared" ca="1" si="0"/>
        <v>35357.167000000001</v>
      </c>
      <c r="Q6" s="3">
        <f t="shared" ca="1" si="0"/>
        <v>35440.203000000001</v>
      </c>
      <c r="R6" s="3">
        <f t="shared" ca="1" si="0"/>
        <v>35372.025999999998</v>
      </c>
      <c r="S6" s="3">
        <f t="shared" ca="1" si="0"/>
        <v>35336.555</v>
      </c>
      <c r="T6" s="3">
        <f t="shared" ca="1" si="0"/>
        <v>35376.803999999996</v>
      </c>
      <c r="U6" s="3">
        <f t="shared" ca="1" si="0"/>
        <v>35432.980000000003</v>
      </c>
      <c r="W6" s="3">
        <f t="shared" ca="1" si="3"/>
        <v>35374.771200000003</v>
      </c>
      <c r="Y6" s="3">
        <f ca="1">Total!E6</f>
        <v>35277.981</v>
      </c>
      <c r="AB6" s="3">
        <f t="shared" ca="1" si="1"/>
        <v>1.7691772099996444E-3</v>
      </c>
      <c r="AC6" s="3">
        <f t="shared" ca="1" si="1"/>
        <v>2.3185283760994669E-3</v>
      </c>
      <c r="AD6" s="3">
        <f t="shared" ca="1" si="1"/>
        <v>3.1583440106733507E-3</v>
      </c>
      <c r="AE6" s="3">
        <f t="shared" ca="1" si="1"/>
        <v>1.826266644908146E-3</v>
      </c>
      <c r="AF6" s="3">
        <f t="shared" ca="1" si="1"/>
        <v>2.2446295892047086E-3</v>
      </c>
      <c r="AG6" s="3">
        <f t="shared" ca="1" si="1"/>
        <v>4.5983924080009444E-3</v>
      </c>
      <c r="AH6" s="3">
        <f t="shared" ca="1" si="1"/>
        <v>2.6658271628412708E-3</v>
      </c>
      <c r="AI6" s="3">
        <f t="shared" ca="1" si="1"/>
        <v>1.6603557896354819E-3</v>
      </c>
      <c r="AJ6" s="3">
        <f t="shared" ca="1" si="1"/>
        <v>2.8012657527083729E-3</v>
      </c>
      <c r="AK6" s="3">
        <f t="shared" ca="1" si="1"/>
        <v>4.3936471307698547E-3</v>
      </c>
      <c r="AM6" s="3">
        <f t="shared" ca="1" si="4"/>
        <v>2.743643407484124E-2</v>
      </c>
    </row>
    <row r="7" spans="1:39" x14ac:dyDescent="0.25">
      <c r="A7" s="3" t="s">
        <v>2</v>
      </c>
      <c r="B7" s="3">
        <v>24</v>
      </c>
      <c r="C7" s="3">
        <v>1</v>
      </c>
      <c r="D7" s="3">
        <v>55981.192000000003</v>
      </c>
      <c r="E7" s="3">
        <v>1.2390000000000001</v>
      </c>
      <c r="F7" s="3">
        <v>210</v>
      </c>
      <c r="H7" s="3" t="s">
        <v>1</v>
      </c>
      <c r="I7" s="3">
        <v>100</v>
      </c>
      <c r="J7" s="3">
        <v>1</v>
      </c>
      <c r="L7" s="3">
        <f t="shared" ca="1" si="2"/>
        <v>63256.667999999998</v>
      </c>
      <c r="M7" s="3">
        <f t="shared" ca="1" si="0"/>
        <v>63150.55</v>
      </c>
      <c r="N7" s="3">
        <f t="shared" ca="1" si="0"/>
        <v>63215.866999999998</v>
      </c>
      <c r="O7" s="3">
        <f t="shared" ca="1" si="0"/>
        <v>63127.379000000001</v>
      </c>
      <c r="P7" s="3">
        <f t="shared" ca="1" si="0"/>
        <v>63262.351999999999</v>
      </c>
      <c r="Q7" s="3">
        <f t="shared" ca="1" si="0"/>
        <v>63205.582000000002</v>
      </c>
      <c r="R7" s="3">
        <f t="shared" ca="1" si="0"/>
        <v>63200.593000000001</v>
      </c>
      <c r="S7" s="3">
        <f t="shared" ca="1" si="0"/>
        <v>63179.781000000003</v>
      </c>
      <c r="T7" s="3">
        <f t="shared" ca="1" si="0"/>
        <v>63231.091999999997</v>
      </c>
      <c r="U7" s="3">
        <f t="shared" ca="1" si="0"/>
        <v>63186.678999999996</v>
      </c>
      <c r="W7" s="3">
        <f t="shared" ca="1" si="3"/>
        <v>63201.654299999995</v>
      </c>
      <c r="Y7" s="3">
        <f ca="1">Total!E7</f>
        <v>63035.512000000002</v>
      </c>
      <c r="AB7" s="3">
        <f t="shared" ca="1" si="1"/>
        <v>3.5084350548306069E-3</v>
      </c>
      <c r="AC7" s="3">
        <f t="shared" ca="1" si="1"/>
        <v>1.8249712955452867E-3</v>
      </c>
      <c r="AD7" s="3">
        <f t="shared" ca="1" si="1"/>
        <v>2.8611649890302455E-3</v>
      </c>
      <c r="AE7" s="3">
        <f t="shared" ca="1" si="1"/>
        <v>1.4573848468145761E-3</v>
      </c>
      <c r="AF7" s="3">
        <f t="shared" ca="1" si="1"/>
        <v>3.5986064490123679E-3</v>
      </c>
      <c r="AG7" s="3">
        <f t="shared" ca="1" si="1"/>
        <v>2.6980029923450088E-3</v>
      </c>
      <c r="AH7" s="3">
        <f t="shared" ca="1" si="1"/>
        <v>2.6188571292955994E-3</v>
      </c>
      <c r="AI7" s="3">
        <f t="shared" ca="1" si="1"/>
        <v>2.2886940301206759E-3</v>
      </c>
      <c r="AJ7" s="3">
        <f t="shared" ca="1" si="1"/>
        <v>3.1026955091598917E-3</v>
      </c>
      <c r="AK7" s="3">
        <f t="shared" ca="1" si="1"/>
        <v>2.3981244096184066E-3</v>
      </c>
      <c r="AM7" s="3">
        <f t="shared" ca="1" si="4"/>
        <v>2.6356936705772663E-2</v>
      </c>
    </row>
    <row r="8" spans="1:39" x14ac:dyDescent="0.25">
      <c r="A8" s="3" t="s">
        <v>2</v>
      </c>
      <c r="B8" s="3">
        <v>24</v>
      </c>
      <c r="C8" s="3">
        <v>1</v>
      </c>
      <c r="D8" s="3">
        <v>56020.887999999999</v>
      </c>
      <c r="E8" s="3">
        <v>1.238</v>
      </c>
      <c r="F8" s="3">
        <v>215</v>
      </c>
      <c r="H8" s="3" t="s">
        <v>0</v>
      </c>
      <c r="I8" s="3">
        <v>25</v>
      </c>
      <c r="J8" s="3">
        <v>1</v>
      </c>
      <c r="L8" s="3">
        <f t="shared" ca="1" si="2"/>
        <v>724.495</v>
      </c>
      <c r="M8" s="3">
        <f t="shared" ca="1" si="0"/>
        <v>723.57600000000002</v>
      </c>
      <c r="N8" s="3">
        <f t="shared" ca="1" si="0"/>
        <v>723.81500000000005</v>
      </c>
      <c r="O8" s="3">
        <f t="shared" ca="1" si="0"/>
        <v>722.93899999999996</v>
      </c>
      <c r="P8" s="3">
        <f t="shared" ca="1" si="0"/>
        <v>723.17200000000003</v>
      </c>
      <c r="Q8" s="3">
        <f t="shared" ca="1" si="0"/>
        <v>723.928</v>
      </c>
      <c r="R8" s="3">
        <f t="shared" ca="1" si="0"/>
        <v>723.81100000000004</v>
      </c>
      <c r="S8" s="3">
        <f t="shared" ca="1" si="0"/>
        <v>723.88199999999995</v>
      </c>
      <c r="T8" s="3">
        <f t="shared" ca="1" si="0"/>
        <v>723.36199999999997</v>
      </c>
      <c r="U8" s="3">
        <f t="shared" ca="1" si="0"/>
        <v>723.54300000000001</v>
      </c>
      <c r="W8" s="3">
        <f t="shared" ca="1" si="3"/>
        <v>723.65229999999997</v>
      </c>
      <c r="Y8" s="3">
        <f ca="1">Total!E8</f>
        <v>722.92</v>
      </c>
      <c r="AB8" s="3">
        <f t="shared" ca="1" si="1"/>
        <v>2.1786643058706989E-3</v>
      </c>
      <c r="AC8" s="3">
        <f t="shared" ca="1" si="1"/>
        <v>9.0743097438176123E-4</v>
      </c>
      <c r="AD8" s="3">
        <f t="shared" ca="1" si="1"/>
        <v>1.2380346373043981E-3</v>
      </c>
      <c r="AE8" s="3">
        <f t="shared" ca="1" si="1"/>
        <v>2.628229956289141E-5</v>
      </c>
      <c r="AF8" s="3">
        <f t="shared" ca="1" si="1"/>
        <v>3.4858628893939358E-4</v>
      </c>
      <c r="AG8" s="3">
        <f t="shared" ca="1" si="1"/>
        <v>1.3943451557572597E-3</v>
      </c>
      <c r="AH8" s="3">
        <f t="shared" ca="1" si="1"/>
        <v>1.2325015216069226E-3</v>
      </c>
      <c r="AI8" s="3">
        <f t="shared" ca="1" si="1"/>
        <v>1.3307143252365256E-3</v>
      </c>
      <c r="AJ8" s="3">
        <f t="shared" ca="1" si="1"/>
        <v>6.1140928456815044E-4</v>
      </c>
      <c r="AK8" s="3">
        <f t="shared" ca="1" si="1"/>
        <v>8.6178276987778366E-4</v>
      </c>
      <c r="AM8" s="3">
        <f t="shared" ca="1" si="4"/>
        <v>1.0129751563105785E-2</v>
      </c>
    </row>
    <row r="9" spans="1:39" x14ac:dyDescent="0.25">
      <c r="A9" s="3" t="s">
        <v>2</v>
      </c>
      <c r="B9" s="3">
        <v>24</v>
      </c>
      <c r="C9" s="3">
        <v>1</v>
      </c>
      <c r="D9" s="3">
        <v>55987.86</v>
      </c>
      <c r="E9" s="3">
        <v>1.238</v>
      </c>
      <c r="F9" s="3">
        <v>215</v>
      </c>
      <c r="H9" s="3" t="s">
        <v>0</v>
      </c>
      <c r="I9" s="3">
        <v>50</v>
      </c>
      <c r="J9" s="3">
        <v>1</v>
      </c>
      <c r="L9" s="3">
        <f t="shared" ca="1" si="2"/>
        <v>1571.171</v>
      </c>
      <c r="M9" s="3">
        <f t="shared" ca="1" si="0"/>
        <v>1572.2860000000001</v>
      </c>
      <c r="N9" s="3">
        <f t="shared" ca="1" si="0"/>
        <v>1571.5809999999999</v>
      </c>
      <c r="O9" s="3">
        <f t="shared" ca="1" si="0"/>
        <v>1571.239</v>
      </c>
      <c r="P9" s="3">
        <f t="shared" ca="1" si="0"/>
        <v>1571.3779999999999</v>
      </c>
      <c r="Q9" s="3">
        <f t="shared" ca="1" si="0"/>
        <v>1572.239</v>
      </c>
      <c r="R9" s="3">
        <f t="shared" ca="1" si="0"/>
        <v>1571.5050000000001</v>
      </c>
      <c r="S9" s="3">
        <f t="shared" ca="1" si="0"/>
        <v>1572.008</v>
      </c>
      <c r="T9" s="3">
        <f t="shared" ca="1" si="0"/>
        <v>1576.569</v>
      </c>
      <c r="U9" s="3">
        <f t="shared" ca="1" si="0"/>
        <v>1570.69</v>
      </c>
      <c r="W9" s="3">
        <f t="shared" ca="1" si="3"/>
        <v>1572.0666000000001</v>
      </c>
      <c r="Y9" s="3">
        <f ca="1">Total!E9</f>
        <v>1570.17</v>
      </c>
      <c r="AB9" s="3">
        <f t="shared" ca="1" si="1"/>
        <v>6.3751058802548539E-4</v>
      </c>
      <c r="AC9" s="3">
        <f t="shared" ca="1" si="1"/>
        <v>1.347624779482467E-3</v>
      </c>
      <c r="AD9" s="3">
        <f t="shared" ca="1" si="1"/>
        <v>8.9862881089298021E-4</v>
      </c>
      <c r="AE9" s="3">
        <f t="shared" ca="1" si="1"/>
        <v>6.8081800059863575E-4</v>
      </c>
      <c r="AF9" s="3">
        <f t="shared" ca="1" si="1"/>
        <v>7.6934344688782505E-4</v>
      </c>
      <c r="AG9" s="3">
        <f t="shared" ca="1" si="1"/>
        <v>1.3176917149098249E-3</v>
      </c>
      <c r="AH9" s="3">
        <f t="shared" ca="1" si="1"/>
        <v>8.5022640860546071E-4</v>
      </c>
      <c r="AI9" s="3">
        <f t="shared" ca="1" si="1"/>
        <v>1.1705738869039438E-3</v>
      </c>
      <c r="AJ9" s="3">
        <f t="shared" ca="1" si="1"/>
        <v>4.0753548978772281E-3</v>
      </c>
      <c r="AK9" s="3">
        <f t="shared" ca="1" si="1"/>
        <v>3.3117433144180678E-4</v>
      </c>
      <c r="AM9" s="3">
        <f t="shared" ca="1" si="4"/>
        <v>1.2078946865625658E-2</v>
      </c>
    </row>
    <row r="10" spans="1:39" x14ac:dyDescent="0.25">
      <c r="A10" s="3" t="s">
        <v>2</v>
      </c>
      <c r="B10" s="3">
        <v>24</v>
      </c>
      <c r="C10" s="3">
        <v>1</v>
      </c>
      <c r="D10" s="3">
        <v>55960.775000000001</v>
      </c>
      <c r="E10" s="3">
        <v>1.2350000000000001</v>
      </c>
      <c r="F10" s="3">
        <v>208</v>
      </c>
      <c r="H10" s="3" t="s">
        <v>28</v>
      </c>
      <c r="I10" s="3">
        <v>100</v>
      </c>
      <c r="J10" s="3">
        <v>1</v>
      </c>
      <c r="L10" s="3">
        <f t="shared" ca="1" si="2"/>
        <v>3293.3119999999999</v>
      </c>
      <c r="M10" s="3">
        <f t="shared" ca="1" si="0"/>
        <v>3296.4639999999999</v>
      </c>
      <c r="N10" s="3">
        <f t="shared" ca="1" si="0"/>
        <v>3315.3879999999999</v>
      </c>
      <c r="O10" s="3">
        <f t="shared" ca="1" si="0"/>
        <v>3297.8020000000001</v>
      </c>
      <c r="P10" s="3">
        <f t="shared" ca="1" si="0"/>
        <v>3299.5830000000001</v>
      </c>
      <c r="Q10" s="3">
        <f t="shared" ca="1" si="0"/>
        <v>3298.6460000000002</v>
      </c>
      <c r="R10" s="3">
        <f t="shared" ca="1" si="0"/>
        <v>3294.1669999999999</v>
      </c>
      <c r="S10" s="3">
        <f t="shared" ca="1" si="0"/>
        <v>3292.75</v>
      </c>
      <c r="T10" s="3">
        <f t="shared" ca="1" si="0"/>
        <v>3291.3090000000002</v>
      </c>
      <c r="U10" s="3">
        <f t="shared" ca="1" si="0"/>
        <v>3292.3119999999999</v>
      </c>
      <c r="W10" s="3">
        <f t="shared" ca="1" si="3"/>
        <v>3297.1732999999999</v>
      </c>
      <c r="Y10" s="3">
        <f ca="1">Total!E10</f>
        <v>3290.5340000000001</v>
      </c>
      <c r="AB10" s="3">
        <f t="shared" ca="1" si="1"/>
        <v>8.442398710968471E-4</v>
      </c>
      <c r="AC10" s="3">
        <f t="shared" ca="1" si="1"/>
        <v>1.8021391056891787E-3</v>
      </c>
      <c r="AD10" s="3">
        <f t="shared" ca="1" si="1"/>
        <v>7.5531813377402619E-3</v>
      </c>
      <c r="AE10" s="3">
        <f t="shared" ca="1" si="1"/>
        <v>2.208760037124682E-3</v>
      </c>
      <c r="AF10" s="3">
        <f t="shared" ca="1" si="1"/>
        <v>2.7500095729142983E-3</v>
      </c>
      <c r="AG10" s="3">
        <f t="shared" ca="1" si="1"/>
        <v>2.4652533600929452E-3</v>
      </c>
      <c r="AH10" s="3">
        <f t="shared" ca="1" si="1"/>
        <v>1.1040761165208475E-3</v>
      </c>
      <c r="AI10" s="3">
        <f t="shared" ca="1" si="1"/>
        <v>6.7344692381233388E-4</v>
      </c>
      <c r="AJ10" s="3">
        <f t="shared" ca="1" si="1"/>
        <v>2.355240821094968E-4</v>
      </c>
      <c r="AK10" s="3">
        <f t="shared" ca="1" si="1"/>
        <v>5.4033782966527398E-4</v>
      </c>
      <c r="AM10" s="3">
        <f t="shared" ca="1" si="4"/>
        <v>2.0176968236766162E-2</v>
      </c>
    </row>
    <row r="11" spans="1:39" x14ac:dyDescent="0.25">
      <c r="A11" s="3" t="s">
        <v>2</v>
      </c>
      <c r="B11" s="3">
        <v>47</v>
      </c>
      <c r="C11" s="3">
        <v>1</v>
      </c>
      <c r="D11" s="3">
        <v>126395.833</v>
      </c>
      <c r="E11" s="3">
        <v>4.1449999999999996</v>
      </c>
      <c r="F11" s="3">
        <v>212</v>
      </c>
    </row>
    <row r="12" spans="1:39" x14ac:dyDescent="0.25">
      <c r="A12" s="3" t="s">
        <v>2</v>
      </c>
      <c r="B12" s="3">
        <v>47</v>
      </c>
      <c r="C12" s="3">
        <v>1</v>
      </c>
      <c r="D12" s="3">
        <v>126170.549</v>
      </c>
      <c r="E12" s="3">
        <v>4.1580000000000004</v>
      </c>
      <c r="F12" s="3">
        <v>227</v>
      </c>
    </row>
    <row r="13" spans="1:39" x14ac:dyDescent="0.25">
      <c r="A13" s="3" t="s">
        <v>2</v>
      </c>
      <c r="B13" s="3">
        <v>47</v>
      </c>
      <c r="C13" s="3">
        <v>1</v>
      </c>
      <c r="D13" s="3">
        <v>126203.14200000001</v>
      </c>
      <c r="E13" s="3">
        <v>4.1500000000000004</v>
      </c>
      <c r="F13" s="3">
        <v>226</v>
      </c>
    </row>
    <row r="14" spans="1:39" x14ac:dyDescent="0.25">
      <c r="A14" s="3" t="s">
        <v>2</v>
      </c>
      <c r="B14" s="3">
        <v>47</v>
      </c>
      <c r="C14" s="3">
        <v>1</v>
      </c>
      <c r="D14" s="3">
        <v>126232.58100000001</v>
      </c>
      <c r="E14" s="3">
        <v>4.149</v>
      </c>
      <c r="F14" s="3">
        <v>228</v>
      </c>
    </row>
    <row r="15" spans="1:39" x14ac:dyDescent="0.25">
      <c r="A15" s="3" t="s">
        <v>2</v>
      </c>
      <c r="B15" s="3">
        <v>47</v>
      </c>
      <c r="C15" s="3">
        <v>1</v>
      </c>
      <c r="D15" s="3">
        <v>126250.45699999999</v>
      </c>
      <c r="E15" s="3">
        <v>4.1470000000000002</v>
      </c>
      <c r="F15" s="3">
        <v>223</v>
      </c>
    </row>
    <row r="16" spans="1:39" x14ac:dyDescent="0.25">
      <c r="A16" s="3" t="s">
        <v>2</v>
      </c>
      <c r="B16" s="3">
        <v>47</v>
      </c>
      <c r="C16" s="3">
        <v>1</v>
      </c>
      <c r="D16" s="3">
        <v>126220.41099999999</v>
      </c>
      <c r="E16" s="3">
        <v>4.1479999999999997</v>
      </c>
      <c r="F16" s="3">
        <v>227</v>
      </c>
    </row>
    <row r="17" spans="1:6" x14ac:dyDescent="0.25">
      <c r="A17" s="3" t="s">
        <v>2</v>
      </c>
      <c r="B17" s="3">
        <v>47</v>
      </c>
      <c r="C17" s="3">
        <v>1</v>
      </c>
      <c r="D17" s="3">
        <v>126323.781</v>
      </c>
      <c r="E17" s="3">
        <v>4.141</v>
      </c>
      <c r="F17" s="3">
        <v>221</v>
      </c>
    </row>
    <row r="18" spans="1:6" x14ac:dyDescent="0.25">
      <c r="A18" s="3" t="s">
        <v>2</v>
      </c>
      <c r="B18" s="3">
        <v>47</v>
      </c>
      <c r="C18" s="3">
        <v>1</v>
      </c>
      <c r="D18" s="3">
        <v>126277.08500000001</v>
      </c>
      <c r="E18" s="3">
        <v>4.1470000000000002</v>
      </c>
      <c r="F18" s="3">
        <v>211</v>
      </c>
    </row>
    <row r="19" spans="1:6" x14ac:dyDescent="0.25">
      <c r="A19" s="3" t="s">
        <v>2</v>
      </c>
      <c r="B19" s="3">
        <v>47</v>
      </c>
      <c r="C19" s="3">
        <v>1</v>
      </c>
      <c r="D19" s="3">
        <v>126224.84699999999</v>
      </c>
      <c r="E19" s="3">
        <v>4.149</v>
      </c>
      <c r="F19" s="3">
        <v>223</v>
      </c>
    </row>
    <row r="20" spans="1:6" x14ac:dyDescent="0.25">
      <c r="A20" s="3" t="s">
        <v>2</v>
      </c>
      <c r="B20" s="3">
        <v>47</v>
      </c>
      <c r="C20" s="3">
        <v>1</v>
      </c>
      <c r="D20" s="3">
        <v>126220.723</v>
      </c>
      <c r="E20" s="3">
        <v>4.149</v>
      </c>
      <c r="F20" s="3">
        <v>221</v>
      </c>
    </row>
    <row r="21" spans="1:6" x14ac:dyDescent="0.25">
      <c r="A21" s="3" t="s">
        <v>2</v>
      </c>
      <c r="B21" s="3">
        <v>100</v>
      </c>
      <c r="C21" s="3">
        <v>1</v>
      </c>
      <c r="D21" s="3">
        <v>1216691.014</v>
      </c>
      <c r="E21" s="3">
        <v>22.117999999999999</v>
      </c>
      <c r="F21" s="3">
        <v>246</v>
      </c>
    </row>
    <row r="22" spans="1:6" x14ac:dyDescent="0.25">
      <c r="A22" s="3" t="s">
        <v>2</v>
      </c>
      <c r="B22" s="3">
        <v>100</v>
      </c>
      <c r="C22" s="3">
        <v>1</v>
      </c>
      <c r="D22" s="3">
        <v>1217519.9669999999</v>
      </c>
      <c r="E22" s="3">
        <v>22.123000000000001</v>
      </c>
      <c r="F22" s="3">
        <v>245</v>
      </c>
    </row>
    <row r="23" spans="1:6" x14ac:dyDescent="0.25">
      <c r="A23" s="3" t="s">
        <v>2</v>
      </c>
      <c r="B23" s="3">
        <v>100</v>
      </c>
      <c r="C23" s="3">
        <v>1</v>
      </c>
      <c r="D23" s="3">
        <v>1217185.5349999999</v>
      </c>
      <c r="E23" s="3">
        <v>22.094000000000001</v>
      </c>
      <c r="F23" s="3">
        <v>247</v>
      </c>
    </row>
    <row r="24" spans="1:6" x14ac:dyDescent="0.25">
      <c r="A24" s="3" t="s">
        <v>2</v>
      </c>
      <c r="B24" s="3">
        <v>100</v>
      </c>
      <c r="C24" s="3">
        <v>1</v>
      </c>
      <c r="D24" s="3">
        <v>1216764.398</v>
      </c>
      <c r="E24" s="3">
        <v>22.100999999999999</v>
      </c>
      <c r="F24" s="3">
        <v>247</v>
      </c>
    </row>
    <row r="25" spans="1:6" x14ac:dyDescent="0.25">
      <c r="A25" s="3" t="s">
        <v>2</v>
      </c>
      <c r="B25" s="3">
        <v>100</v>
      </c>
      <c r="C25" s="3">
        <v>1</v>
      </c>
      <c r="D25" s="3">
        <v>1217435.8430000001</v>
      </c>
      <c r="E25" s="3">
        <v>22.119</v>
      </c>
      <c r="F25" s="3">
        <v>244</v>
      </c>
    </row>
    <row r="26" spans="1:6" x14ac:dyDescent="0.25">
      <c r="A26" s="3" t="s">
        <v>2</v>
      </c>
      <c r="B26" s="3">
        <v>100</v>
      </c>
      <c r="C26" s="3">
        <v>1</v>
      </c>
      <c r="D26" s="3">
        <v>1216771.517</v>
      </c>
      <c r="E26" s="3">
        <v>22.114999999999998</v>
      </c>
      <c r="F26" s="3">
        <v>244</v>
      </c>
    </row>
    <row r="27" spans="1:6" x14ac:dyDescent="0.25">
      <c r="A27" s="3" t="s">
        <v>2</v>
      </c>
      <c r="B27" s="3">
        <v>100</v>
      </c>
      <c r="C27" s="3">
        <v>1</v>
      </c>
      <c r="D27" s="3">
        <v>1216722.284</v>
      </c>
      <c r="E27" s="3">
        <v>22.108000000000001</v>
      </c>
      <c r="F27" s="3">
        <v>248</v>
      </c>
    </row>
    <row r="28" spans="1:6" x14ac:dyDescent="0.25">
      <c r="A28" s="3" t="s">
        <v>2</v>
      </c>
      <c r="B28" s="3">
        <v>100</v>
      </c>
      <c r="C28" s="3">
        <v>1</v>
      </c>
      <c r="D28" s="3">
        <v>1216995.443</v>
      </c>
      <c r="E28" s="3">
        <v>22.12</v>
      </c>
      <c r="F28" s="3">
        <v>246</v>
      </c>
    </row>
    <row r="29" spans="1:6" x14ac:dyDescent="0.25">
      <c r="A29" s="3" t="s">
        <v>2</v>
      </c>
      <c r="B29" s="3">
        <v>100</v>
      </c>
      <c r="C29" s="3">
        <v>1</v>
      </c>
      <c r="D29" s="3">
        <v>1216866.5179999999</v>
      </c>
      <c r="E29" s="3">
        <v>22.106999999999999</v>
      </c>
      <c r="F29" s="3">
        <v>248</v>
      </c>
    </row>
    <row r="30" spans="1:6" x14ac:dyDescent="0.25">
      <c r="A30" s="3" t="s">
        <v>2</v>
      </c>
      <c r="B30" s="3">
        <v>100</v>
      </c>
      <c r="C30" s="3">
        <v>1</v>
      </c>
      <c r="D30" s="3">
        <v>1216625.088</v>
      </c>
      <c r="E30" s="3">
        <v>22.111000000000001</v>
      </c>
      <c r="F30" s="3">
        <v>249</v>
      </c>
    </row>
    <row r="31" spans="1:6" x14ac:dyDescent="0.25">
      <c r="A31" s="3" t="s">
        <v>1</v>
      </c>
      <c r="B31" s="3">
        <v>30</v>
      </c>
      <c r="C31" s="3">
        <v>1</v>
      </c>
      <c r="D31" s="3">
        <v>20002.135999999999</v>
      </c>
      <c r="E31" s="3">
        <v>1.347</v>
      </c>
      <c r="F31" s="3">
        <v>147</v>
      </c>
    </row>
    <row r="32" spans="1:6" x14ac:dyDescent="0.25">
      <c r="A32" s="3" t="s">
        <v>1</v>
      </c>
      <c r="B32" s="3">
        <v>30</v>
      </c>
      <c r="C32" s="3">
        <v>1</v>
      </c>
      <c r="D32" s="3">
        <v>19994.381000000001</v>
      </c>
      <c r="E32" s="3">
        <v>1.3520000000000001</v>
      </c>
      <c r="F32" s="3">
        <v>160</v>
      </c>
    </row>
    <row r="33" spans="1:6" x14ac:dyDescent="0.25">
      <c r="A33" s="3" t="s">
        <v>1</v>
      </c>
      <c r="B33" s="3">
        <v>30</v>
      </c>
      <c r="C33" s="3">
        <v>1</v>
      </c>
      <c r="D33" s="3">
        <v>20014.881000000001</v>
      </c>
      <c r="E33" s="3">
        <v>1.35</v>
      </c>
      <c r="F33" s="3">
        <v>166</v>
      </c>
    </row>
    <row r="34" spans="1:6" x14ac:dyDescent="0.25">
      <c r="A34" s="3" t="s">
        <v>1</v>
      </c>
      <c r="B34" s="3">
        <v>30</v>
      </c>
      <c r="C34" s="3">
        <v>1</v>
      </c>
      <c r="D34" s="3">
        <v>20004.848000000002</v>
      </c>
      <c r="E34" s="3">
        <v>1.3480000000000001</v>
      </c>
      <c r="F34" s="3">
        <v>156</v>
      </c>
    </row>
    <row r="35" spans="1:6" x14ac:dyDescent="0.25">
      <c r="A35" s="3" t="s">
        <v>1</v>
      </c>
      <c r="B35" s="3">
        <v>30</v>
      </c>
      <c r="C35" s="3">
        <v>1</v>
      </c>
      <c r="D35" s="3">
        <v>19993.907999999999</v>
      </c>
      <c r="E35" s="3">
        <v>1.351</v>
      </c>
      <c r="F35" s="3">
        <v>158</v>
      </c>
    </row>
    <row r="36" spans="1:6" x14ac:dyDescent="0.25">
      <c r="A36" s="3" t="s">
        <v>1</v>
      </c>
      <c r="B36" s="3">
        <v>30</v>
      </c>
      <c r="C36" s="3">
        <v>1</v>
      </c>
      <c r="D36" s="3">
        <v>20003.776000000002</v>
      </c>
      <c r="E36" s="3">
        <v>1.3520000000000001</v>
      </c>
      <c r="F36" s="3">
        <v>150</v>
      </c>
    </row>
    <row r="37" spans="1:6" x14ac:dyDescent="0.25">
      <c r="A37" s="3" t="s">
        <v>1</v>
      </c>
      <c r="B37" s="3">
        <v>30</v>
      </c>
      <c r="C37" s="3">
        <v>1</v>
      </c>
      <c r="D37" s="3">
        <v>20001.021000000001</v>
      </c>
      <c r="E37" s="3">
        <v>1.3460000000000001</v>
      </c>
      <c r="F37" s="3">
        <v>148</v>
      </c>
    </row>
    <row r="38" spans="1:6" x14ac:dyDescent="0.25">
      <c r="A38" s="3" t="s">
        <v>1</v>
      </c>
      <c r="B38" s="3">
        <v>30</v>
      </c>
      <c r="C38" s="3">
        <v>1</v>
      </c>
      <c r="D38" s="3">
        <v>20097.092000000001</v>
      </c>
      <c r="E38" s="3">
        <v>1.35</v>
      </c>
      <c r="F38" s="3">
        <v>155</v>
      </c>
    </row>
    <row r="39" spans="1:6" x14ac:dyDescent="0.25">
      <c r="A39" s="3" t="s">
        <v>1</v>
      </c>
      <c r="B39" s="3">
        <v>30</v>
      </c>
      <c r="C39" s="3">
        <v>1</v>
      </c>
      <c r="D39" s="3">
        <v>20055.224999999999</v>
      </c>
      <c r="E39" s="3">
        <v>1.3520000000000001</v>
      </c>
      <c r="F39" s="3">
        <v>157</v>
      </c>
    </row>
    <row r="40" spans="1:6" x14ac:dyDescent="0.25">
      <c r="A40" s="3" t="s">
        <v>1</v>
      </c>
      <c r="B40" s="3">
        <v>30</v>
      </c>
      <c r="C40" s="3">
        <v>1</v>
      </c>
      <c r="D40" s="3">
        <v>20013.440999999999</v>
      </c>
      <c r="E40" s="3">
        <v>1.351</v>
      </c>
      <c r="F40" s="3">
        <v>157</v>
      </c>
    </row>
    <row r="41" spans="1:6" x14ac:dyDescent="0.25">
      <c r="A41" s="3" t="s">
        <v>1</v>
      </c>
      <c r="B41" s="3">
        <v>50</v>
      </c>
      <c r="C41" s="3">
        <v>1</v>
      </c>
      <c r="D41" s="3">
        <v>35340.394</v>
      </c>
      <c r="E41" s="3">
        <v>3.04</v>
      </c>
      <c r="F41" s="3">
        <v>125</v>
      </c>
    </row>
    <row r="42" spans="1:6" x14ac:dyDescent="0.25">
      <c r="A42" s="3" t="s">
        <v>1</v>
      </c>
      <c r="B42" s="3">
        <v>50</v>
      </c>
      <c r="C42" s="3">
        <v>1</v>
      </c>
      <c r="D42" s="3">
        <v>35359.773999999998</v>
      </c>
      <c r="E42" s="3">
        <v>3.032</v>
      </c>
      <c r="F42" s="3">
        <v>143</v>
      </c>
    </row>
    <row r="43" spans="1:6" x14ac:dyDescent="0.25">
      <c r="A43" s="3" t="s">
        <v>1</v>
      </c>
      <c r="B43" s="3">
        <v>50</v>
      </c>
      <c r="C43" s="3">
        <v>1</v>
      </c>
      <c r="D43" s="3">
        <v>35389.400999999998</v>
      </c>
      <c r="E43" s="3">
        <v>3.0350000000000001</v>
      </c>
      <c r="F43" s="3">
        <v>143</v>
      </c>
    </row>
    <row r="44" spans="1:6" x14ac:dyDescent="0.25">
      <c r="A44" s="3" t="s">
        <v>1</v>
      </c>
      <c r="B44" s="3">
        <v>50</v>
      </c>
      <c r="C44" s="3">
        <v>1</v>
      </c>
      <c r="D44" s="3">
        <v>35342.408000000003</v>
      </c>
      <c r="E44" s="3">
        <v>3.044</v>
      </c>
      <c r="F44" s="3">
        <v>140</v>
      </c>
    </row>
    <row r="45" spans="1:6" x14ac:dyDescent="0.25">
      <c r="A45" s="3" t="s">
        <v>1</v>
      </c>
      <c r="B45" s="3">
        <v>50</v>
      </c>
      <c r="C45" s="3">
        <v>1</v>
      </c>
      <c r="D45" s="3">
        <v>35357.167000000001</v>
      </c>
      <c r="E45" s="3">
        <v>3.0470000000000002</v>
      </c>
      <c r="F45" s="3">
        <v>146</v>
      </c>
    </row>
    <row r="46" spans="1:6" x14ac:dyDescent="0.25">
      <c r="A46" s="3" t="s">
        <v>1</v>
      </c>
      <c r="B46" s="3">
        <v>50</v>
      </c>
      <c r="C46" s="3">
        <v>1</v>
      </c>
      <c r="D46" s="3">
        <v>35440.203000000001</v>
      </c>
      <c r="E46" s="3">
        <v>3.048</v>
      </c>
      <c r="F46" s="3">
        <v>147</v>
      </c>
    </row>
    <row r="47" spans="1:6" x14ac:dyDescent="0.25">
      <c r="A47" s="3" t="s">
        <v>1</v>
      </c>
      <c r="B47" s="3">
        <v>50</v>
      </c>
      <c r="C47" s="3">
        <v>1</v>
      </c>
      <c r="D47" s="3">
        <v>35372.025999999998</v>
      </c>
      <c r="E47" s="3">
        <v>3.0369999999999999</v>
      </c>
      <c r="F47" s="3">
        <v>140</v>
      </c>
    </row>
    <row r="48" spans="1:6" x14ac:dyDescent="0.25">
      <c r="A48" s="3" t="s">
        <v>1</v>
      </c>
      <c r="B48" s="3">
        <v>50</v>
      </c>
      <c r="C48" s="3">
        <v>1</v>
      </c>
      <c r="D48" s="3">
        <v>35336.555</v>
      </c>
      <c r="E48" s="3">
        <v>3.044</v>
      </c>
      <c r="F48" s="3">
        <v>139</v>
      </c>
    </row>
    <row r="49" spans="1:6" x14ac:dyDescent="0.25">
      <c r="A49" s="3" t="s">
        <v>1</v>
      </c>
      <c r="B49" s="3">
        <v>50</v>
      </c>
      <c r="C49" s="3">
        <v>1</v>
      </c>
      <c r="D49" s="3">
        <v>35376.803999999996</v>
      </c>
      <c r="E49" s="3">
        <v>3.044</v>
      </c>
      <c r="F49" s="3">
        <v>138</v>
      </c>
    </row>
    <row r="50" spans="1:6" x14ac:dyDescent="0.25">
      <c r="A50" s="3" t="s">
        <v>1</v>
      </c>
      <c r="B50" s="3">
        <v>50</v>
      </c>
      <c r="C50" s="3">
        <v>1</v>
      </c>
      <c r="D50" s="3">
        <v>35432.980000000003</v>
      </c>
      <c r="E50" s="3">
        <v>3.0350000000000001</v>
      </c>
      <c r="F50" s="3">
        <v>141</v>
      </c>
    </row>
    <row r="51" spans="1:6" x14ac:dyDescent="0.25">
      <c r="A51" s="3" t="s">
        <v>1</v>
      </c>
      <c r="B51" s="3">
        <v>100</v>
      </c>
      <c r="C51" s="3">
        <v>1</v>
      </c>
      <c r="D51" s="3">
        <v>63256.667999999998</v>
      </c>
      <c r="E51" s="3">
        <v>11.722</v>
      </c>
      <c r="F51" s="3">
        <v>136</v>
      </c>
    </row>
    <row r="52" spans="1:6" x14ac:dyDescent="0.25">
      <c r="A52" s="3" t="s">
        <v>1</v>
      </c>
      <c r="B52" s="3">
        <v>100</v>
      </c>
      <c r="C52" s="3">
        <v>1</v>
      </c>
      <c r="D52" s="3">
        <v>63150.55</v>
      </c>
      <c r="E52" s="3">
        <v>11.694000000000001</v>
      </c>
      <c r="F52" s="3">
        <v>136</v>
      </c>
    </row>
    <row r="53" spans="1:6" x14ac:dyDescent="0.25">
      <c r="A53" s="3" t="s">
        <v>1</v>
      </c>
      <c r="B53" s="3">
        <v>100</v>
      </c>
      <c r="C53" s="3">
        <v>1</v>
      </c>
      <c r="D53" s="3">
        <v>63215.866999999998</v>
      </c>
      <c r="E53" s="3">
        <v>11.728999999999999</v>
      </c>
      <c r="F53" s="3">
        <v>134</v>
      </c>
    </row>
    <row r="54" spans="1:6" x14ac:dyDescent="0.25">
      <c r="A54" s="3" t="s">
        <v>1</v>
      </c>
      <c r="B54" s="3">
        <v>100</v>
      </c>
      <c r="C54" s="3">
        <v>1</v>
      </c>
      <c r="D54" s="3">
        <v>63127.379000000001</v>
      </c>
      <c r="E54" s="3">
        <v>11.701000000000001</v>
      </c>
      <c r="F54" s="3">
        <v>137</v>
      </c>
    </row>
    <row r="55" spans="1:6" x14ac:dyDescent="0.25">
      <c r="A55" s="3" t="s">
        <v>1</v>
      </c>
      <c r="B55" s="3">
        <v>100</v>
      </c>
      <c r="C55" s="3">
        <v>1</v>
      </c>
      <c r="D55" s="3">
        <v>63262.351999999999</v>
      </c>
      <c r="E55" s="3">
        <v>11.702999999999999</v>
      </c>
      <c r="F55" s="3">
        <v>137</v>
      </c>
    </row>
    <row r="56" spans="1:6" x14ac:dyDescent="0.25">
      <c r="A56" s="3" t="s">
        <v>1</v>
      </c>
      <c r="B56" s="3">
        <v>100</v>
      </c>
      <c r="C56" s="3">
        <v>1</v>
      </c>
      <c r="D56" s="3">
        <v>63205.582000000002</v>
      </c>
      <c r="E56" s="3">
        <v>11.677</v>
      </c>
      <c r="F56" s="3">
        <v>135</v>
      </c>
    </row>
    <row r="57" spans="1:6" x14ac:dyDescent="0.25">
      <c r="A57" s="3" t="s">
        <v>1</v>
      </c>
      <c r="B57" s="3">
        <v>100</v>
      </c>
      <c r="C57" s="3">
        <v>1</v>
      </c>
      <c r="D57" s="3">
        <v>63200.593000000001</v>
      </c>
      <c r="E57" s="3">
        <v>11.728</v>
      </c>
      <c r="F57" s="3">
        <v>135</v>
      </c>
    </row>
    <row r="58" spans="1:6" x14ac:dyDescent="0.25">
      <c r="A58" s="3" t="s">
        <v>1</v>
      </c>
      <c r="B58" s="3">
        <v>100</v>
      </c>
      <c r="C58" s="3">
        <v>1</v>
      </c>
      <c r="D58" s="3">
        <v>63179.781000000003</v>
      </c>
      <c r="E58" s="3">
        <v>11.726000000000001</v>
      </c>
      <c r="F58" s="3">
        <v>137</v>
      </c>
    </row>
    <row r="59" spans="1:6" x14ac:dyDescent="0.25">
      <c r="A59" s="3" t="s">
        <v>1</v>
      </c>
      <c r="B59" s="3">
        <v>100</v>
      </c>
      <c r="C59" s="3">
        <v>1</v>
      </c>
      <c r="D59" s="3">
        <v>63231.091999999997</v>
      </c>
      <c r="E59" s="3">
        <v>11.73</v>
      </c>
      <c r="F59" s="3">
        <v>136</v>
      </c>
    </row>
    <row r="60" spans="1:6" x14ac:dyDescent="0.25">
      <c r="A60" s="3" t="s">
        <v>1</v>
      </c>
      <c r="B60" s="3">
        <v>100</v>
      </c>
      <c r="C60" s="3">
        <v>1</v>
      </c>
      <c r="D60" s="3">
        <v>63186.678999999996</v>
      </c>
      <c r="E60" s="3">
        <v>11.686999999999999</v>
      </c>
      <c r="F60" s="3">
        <v>133</v>
      </c>
    </row>
    <row r="61" spans="1:6" x14ac:dyDescent="0.25">
      <c r="A61" s="3" t="s">
        <v>0</v>
      </c>
      <c r="B61" s="3">
        <v>25</v>
      </c>
      <c r="C61" s="3">
        <v>1</v>
      </c>
      <c r="D61" s="3">
        <v>724.495</v>
      </c>
      <c r="E61" s="3">
        <v>0.92600000000000005</v>
      </c>
      <c r="F61" s="3">
        <v>130</v>
      </c>
    </row>
    <row r="62" spans="1:6" x14ac:dyDescent="0.25">
      <c r="A62" s="3" t="s">
        <v>0</v>
      </c>
      <c r="B62" s="3">
        <v>25</v>
      </c>
      <c r="C62" s="3">
        <v>1</v>
      </c>
      <c r="D62" s="3">
        <v>723.57600000000002</v>
      </c>
      <c r="E62" s="3">
        <v>0.90300000000000002</v>
      </c>
      <c r="F62" s="3">
        <v>139</v>
      </c>
    </row>
    <row r="63" spans="1:6" x14ac:dyDescent="0.25">
      <c r="A63" s="3" t="s">
        <v>0</v>
      </c>
      <c r="B63" s="3">
        <v>25</v>
      </c>
      <c r="C63" s="3">
        <v>1</v>
      </c>
      <c r="D63" s="3">
        <v>723.81500000000005</v>
      </c>
      <c r="E63" s="3">
        <v>0.90500000000000003</v>
      </c>
      <c r="F63" s="3">
        <v>154</v>
      </c>
    </row>
    <row r="64" spans="1:6" x14ac:dyDescent="0.25">
      <c r="A64" s="3" t="s">
        <v>0</v>
      </c>
      <c r="B64" s="3">
        <v>25</v>
      </c>
      <c r="C64" s="3">
        <v>1</v>
      </c>
      <c r="D64" s="3">
        <v>722.93899999999996</v>
      </c>
      <c r="E64" s="3">
        <v>0.90200000000000002</v>
      </c>
      <c r="F64" s="3">
        <v>149</v>
      </c>
    </row>
    <row r="65" spans="1:6" x14ac:dyDescent="0.25">
      <c r="A65" s="3" t="s">
        <v>0</v>
      </c>
      <c r="B65" s="3">
        <v>25</v>
      </c>
      <c r="C65" s="3">
        <v>1</v>
      </c>
      <c r="D65" s="3">
        <v>723.17200000000003</v>
      </c>
      <c r="E65" s="3">
        <v>0.90200000000000002</v>
      </c>
      <c r="F65" s="3">
        <v>123</v>
      </c>
    </row>
    <row r="66" spans="1:6" x14ac:dyDescent="0.25">
      <c r="A66" s="3" t="s">
        <v>0</v>
      </c>
      <c r="B66" s="3">
        <v>25</v>
      </c>
      <c r="C66" s="3">
        <v>1</v>
      </c>
      <c r="D66" s="3">
        <v>723.928</v>
      </c>
      <c r="E66" s="3">
        <v>0.90400000000000003</v>
      </c>
      <c r="F66" s="3">
        <v>156</v>
      </c>
    </row>
    <row r="67" spans="1:6" x14ac:dyDescent="0.25">
      <c r="A67" s="3" t="s">
        <v>0</v>
      </c>
      <c r="B67" s="3">
        <v>25</v>
      </c>
      <c r="C67" s="3">
        <v>1</v>
      </c>
      <c r="D67" s="3">
        <v>723.81100000000004</v>
      </c>
      <c r="E67" s="3">
        <v>0.90400000000000003</v>
      </c>
      <c r="F67" s="3">
        <v>140</v>
      </c>
    </row>
    <row r="68" spans="1:6" x14ac:dyDescent="0.25">
      <c r="A68" s="3" t="s">
        <v>0</v>
      </c>
      <c r="B68" s="3">
        <v>25</v>
      </c>
      <c r="C68" s="3">
        <v>1</v>
      </c>
      <c r="D68" s="3">
        <v>723.88199999999995</v>
      </c>
      <c r="E68" s="3">
        <v>0.90400000000000003</v>
      </c>
      <c r="F68" s="3">
        <v>147</v>
      </c>
    </row>
    <row r="69" spans="1:6" x14ac:dyDescent="0.25">
      <c r="A69" s="3" t="s">
        <v>0</v>
      </c>
      <c r="B69" s="3">
        <v>25</v>
      </c>
      <c r="C69" s="3">
        <v>1</v>
      </c>
      <c r="D69" s="3">
        <v>723.36199999999997</v>
      </c>
      <c r="E69" s="3">
        <v>0.90400000000000003</v>
      </c>
      <c r="F69" s="3">
        <v>130</v>
      </c>
    </row>
    <row r="70" spans="1:6" x14ac:dyDescent="0.25">
      <c r="A70" s="3" t="s">
        <v>0</v>
      </c>
      <c r="B70" s="3">
        <v>25</v>
      </c>
      <c r="C70" s="3">
        <v>1</v>
      </c>
      <c r="D70" s="3">
        <v>723.54300000000001</v>
      </c>
      <c r="E70" s="3">
        <v>0.90600000000000003</v>
      </c>
      <c r="F70" s="3">
        <v>158</v>
      </c>
    </row>
    <row r="71" spans="1:6" x14ac:dyDescent="0.25">
      <c r="A71" s="3" t="s">
        <v>0</v>
      </c>
      <c r="B71" s="3">
        <v>50</v>
      </c>
      <c r="C71" s="3">
        <v>1</v>
      </c>
      <c r="D71" s="3">
        <v>1571.171</v>
      </c>
      <c r="E71" s="3">
        <v>3.3759999999999999</v>
      </c>
      <c r="F71" s="3">
        <v>164</v>
      </c>
    </row>
    <row r="72" spans="1:6" x14ac:dyDescent="0.25">
      <c r="A72" s="3" t="s">
        <v>0</v>
      </c>
      <c r="B72" s="3">
        <v>50</v>
      </c>
      <c r="C72" s="3">
        <v>1</v>
      </c>
      <c r="D72" s="3">
        <v>1572.2860000000001</v>
      </c>
      <c r="E72" s="3">
        <v>3.371</v>
      </c>
      <c r="F72" s="3">
        <v>162</v>
      </c>
    </row>
    <row r="73" spans="1:6" x14ac:dyDescent="0.25">
      <c r="A73" s="3" t="s">
        <v>0</v>
      </c>
      <c r="B73" s="3">
        <v>50</v>
      </c>
      <c r="C73" s="3">
        <v>1</v>
      </c>
      <c r="D73" s="3">
        <v>1571.5809999999999</v>
      </c>
      <c r="E73" s="3">
        <v>3.38</v>
      </c>
      <c r="F73" s="3">
        <v>158</v>
      </c>
    </row>
    <row r="74" spans="1:6" x14ac:dyDescent="0.25">
      <c r="A74" s="3" t="s">
        <v>0</v>
      </c>
      <c r="B74" s="3">
        <v>50</v>
      </c>
      <c r="C74" s="3">
        <v>1</v>
      </c>
      <c r="D74" s="3">
        <v>1571.239</v>
      </c>
      <c r="E74" s="3">
        <v>3.3759999999999999</v>
      </c>
      <c r="F74" s="3">
        <v>157</v>
      </c>
    </row>
    <row r="75" spans="1:6" x14ac:dyDescent="0.25">
      <c r="A75" s="3" t="s">
        <v>0</v>
      </c>
      <c r="B75" s="3">
        <v>50</v>
      </c>
      <c r="C75" s="3">
        <v>1</v>
      </c>
      <c r="D75" s="3">
        <v>1571.3779999999999</v>
      </c>
      <c r="E75" s="3">
        <v>3.3809999999999998</v>
      </c>
      <c r="F75" s="3">
        <v>164</v>
      </c>
    </row>
    <row r="76" spans="1:6" x14ac:dyDescent="0.25">
      <c r="A76" s="3" t="s">
        <v>0</v>
      </c>
      <c r="B76" s="3">
        <v>50</v>
      </c>
      <c r="C76" s="3">
        <v>1</v>
      </c>
      <c r="D76" s="3">
        <v>1572.239</v>
      </c>
      <c r="E76" s="3">
        <v>3.371</v>
      </c>
      <c r="F76" s="3">
        <v>152</v>
      </c>
    </row>
    <row r="77" spans="1:6" x14ac:dyDescent="0.25">
      <c r="A77" s="3" t="s">
        <v>0</v>
      </c>
      <c r="B77" s="3">
        <v>50</v>
      </c>
      <c r="C77" s="3">
        <v>1</v>
      </c>
      <c r="D77" s="3">
        <v>1571.5050000000001</v>
      </c>
      <c r="E77" s="3">
        <v>3.3679999999999999</v>
      </c>
      <c r="F77" s="3">
        <v>166</v>
      </c>
    </row>
    <row r="78" spans="1:6" x14ac:dyDescent="0.25">
      <c r="A78" s="3" t="s">
        <v>0</v>
      </c>
      <c r="B78" s="3">
        <v>50</v>
      </c>
      <c r="C78" s="3">
        <v>1</v>
      </c>
      <c r="D78" s="3">
        <v>1572.008</v>
      </c>
      <c r="E78" s="3">
        <v>3.4</v>
      </c>
      <c r="F78" s="3">
        <v>159</v>
      </c>
    </row>
    <row r="79" spans="1:6" x14ac:dyDescent="0.25">
      <c r="A79" s="3" t="s">
        <v>0</v>
      </c>
      <c r="B79" s="3">
        <v>50</v>
      </c>
      <c r="C79" s="3">
        <v>1</v>
      </c>
      <c r="D79" s="3">
        <v>1576.569</v>
      </c>
      <c r="E79" s="3">
        <v>3.3679999999999999</v>
      </c>
      <c r="F79" s="3">
        <v>160</v>
      </c>
    </row>
    <row r="80" spans="1:6" x14ac:dyDescent="0.25">
      <c r="A80" s="3" t="s">
        <v>0</v>
      </c>
      <c r="B80" s="3">
        <v>50</v>
      </c>
      <c r="C80" s="3">
        <v>1</v>
      </c>
      <c r="D80" s="3">
        <v>1570.69</v>
      </c>
      <c r="E80" s="3">
        <v>3.3940000000000001</v>
      </c>
      <c r="F80" s="3">
        <v>162</v>
      </c>
    </row>
    <row r="81" spans="1:6" x14ac:dyDescent="0.25">
      <c r="A81" s="3" t="s">
        <v>0</v>
      </c>
      <c r="B81" s="3">
        <v>100</v>
      </c>
      <c r="C81" s="3">
        <v>1</v>
      </c>
      <c r="D81" s="3">
        <v>3293.3119999999999</v>
      </c>
      <c r="E81" s="3">
        <v>11.313000000000001</v>
      </c>
      <c r="F81" s="3">
        <v>135</v>
      </c>
    </row>
    <row r="82" spans="1:6" x14ac:dyDescent="0.25">
      <c r="A82" s="3" t="s">
        <v>0</v>
      </c>
      <c r="B82" s="3">
        <v>100</v>
      </c>
      <c r="C82" s="3">
        <v>1</v>
      </c>
      <c r="D82" s="3">
        <v>3296.4639999999999</v>
      </c>
      <c r="E82" s="3">
        <v>11.315</v>
      </c>
      <c r="F82" s="3">
        <v>134</v>
      </c>
    </row>
    <row r="83" spans="1:6" x14ac:dyDescent="0.25">
      <c r="A83" s="3" t="s">
        <v>0</v>
      </c>
      <c r="B83" s="3">
        <v>100</v>
      </c>
      <c r="C83" s="3">
        <v>1</v>
      </c>
      <c r="D83" s="3">
        <v>3315.3879999999999</v>
      </c>
      <c r="E83" s="3">
        <v>11.327</v>
      </c>
      <c r="F83" s="3">
        <v>132</v>
      </c>
    </row>
    <row r="84" spans="1:6" x14ac:dyDescent="0.25">
      <c r="A84" s="3" t="s">
        <v>0</v>
      </c>
      <c r="B84" s="3">
        <v>100</v>
      </c>
      <c r="C84" s="3">
        <v>1</v>
      </c>
      <c r="D84" s="3">
        <v>3297.8020000000001</v>
      </c>
      <c r="E84" s="3">
        <v>11.327</v>
      </c>
      <c r="F84" s="3">
        <v>134</v>
      </c>
    </row>
    <row r="85" spans="1:6" x14ac:dyDescent="0.25">
      <c r="A85" s="3" t="s">
        <v>0</v>
      </c>
      <c r="B85" s="3">
        <v>100</v>
      </c>
      <c r="C85" s="3">
        <v>1</v>
      </c>
      <c r="D85" s="3">
        <v>3299.5830000000001</v>
      </c>
      <c r="E85" s="3">
        <v>11.324</v>
      </c>
      <c r="F85" s="3">
        <v>132</v>
      </c>
    </row>
    <row r="86" spans="1:6" x14ac:dyDescent="0.25">
      <c r="A86" s="3" t="s">
        <v>0</v>
      </c>
      <c r="B86" s="3">
        <v>100</v>
      </c>
      <c r="C86" s="3">
        <v>1</v>
      </c>
      <c r="D86" s="3">
        <v>3298.6460000000002</v>
      </c>
      <c r="E86" s="3">
        <v>11.369</v>
      </c>
      <c r="F86" s="3">
        <v>135</v>
      </c>
    </row>
    <row r="87" spans="1:6" x14ac:dyDescent="0.25">
      <c r="A87" s="3" t="s">
        <v>0</v>
      </c>
      <c r="B87" s="3">
        <v>100</v>
      </c>
      <c r="C87" s="3">
        <v>1</v>
      </c>
      <c r="D87" s="3">
        <v>3294.1669999999999</v>
      </c>
      <c r="E87" s="3">
        <v>11.346</v>
      </c>
      <c r="F87" s="3">
        <v>133</v>
      </c>
    </row>
    <row r="88" spans="1:6" x14ac:dyDescent="0.25">
      <c r="A88" s="3" t="s">
        <v>0</v>
      </c>
      <c r="B88" s="3">
        <v>100</v>
      </c>
      <c r="C88" s="3">
        <v>1</v>
      </c>
      <c r="D88" s="3">
        <v>3292.75</v>
      </c>
      <c r="E88" s="3">
        <v>11.334</v>
      </c>
      <c r="F88" s="3">
        <v>136</v>
      </c>
    </row>
    <row r="89" spans="1:6" x14ac:dyDescent="0.25">
      <c r="A89" s="3" t="s">
        <v>0</v>
      </c>
      <c r="B89" s="3">
        <v>100</v>
      </c>
      <c r="C89" s="3">
        <v>1</v>
      </c>
      <c r="D89" s="3">
        <v>3291.3090000000002</v>
      </c>
      <c r="E89" s="3">
        <v>11.342000000000001</v>
      </c>
      <c r="F89" s="3">
        <v>135</v>
      </c>
    </row>
    <row r="90" spans="1:6" x14ac:dyDescent="0.25">
      <c r="A90" s="3" t="s">
        <v>0</v>
      </c>
      <c r="B90" s="3">
        <v>100</v>
      </c>
      <c r="C90" s="3">
        <v>1</v>
      </c>
      <c r="D90" s="3">
        <v>3292.3119999999999</v>
      </c>
      <c r="E90" s="3">
        <v>11.365</v>
      </c>
      <c r="F90" s="3">
        <v>134</v>
      </c>
    </row>
  </sheetData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0"/>
  <sheetViews>
    <sheetView zoomScale="85" zoomScaleNormal="85" workbookViewId="0"/>
  </sheetViews>
  <sheetFormatPr defaultColWidth="9" defaultRowHeight="15" x14ac:dyDescent="0.25"/>
  <cols>
    <col min="1" max="1" width="9.875" style="3" customWidth="1"/>
    <col min="2" max="2" width="3.5" style="3" customWidth="1"/>
    <col min="3" max="3" width="2.625" style="3" bestFit="1" customWidth="1"/>
    <col min="4" max="4" width="10.75" style="3" customWidth="1"/>
    <col min="5" max="5" width="7" style="3" bestFit="1" customWidth="1"/>
    <col min="6" max="6" width="4.375" style="3" bestFit="1" customWidth="1"/>
    <col min="7" max="7" width="2.75" style="3" customWidth="1"/>
    <col min="8" max="8" width="9.75" style="3" customWidth="1"/>
    <col min="9" max="9" width="4.375" style="3" bestFit="1" customWidth="1"/>
    <col min="10" max="10" width="3.125" style="3" bestFit="1" customWidth="1"/>
    <col min="11" max="11" width="2.5" style="3" customWidth="1"/>
    <col min="12" max="21" width="9" style="3"/>
    <col min="22" max="22" width="2.375" style="3" customWidth="1"/>
    <col min="23" max="23" width="9" style="3"/>
    <col min="24" max="24" width="2.5" style="3" customWidth="1"/>
    <col min="25" max="25" width="9" style="3"/>
    <col min="26" max="27" width="2.125" style="3" customWidth="1"/>
    <col min="28" max="37" width="9" style="3"/>
    <col min="38" max="38" width="5.625" style="3" customWidth="1"/>
    <col min="39" max="16384" width="9" style="3"/>
  </cols>
  <sheetData>
    <row r="1" spans="1:39" x14ac:dyDescent="0.25">
      <c r="A1" s="3" t="s">
        <v>2</v>
      </c>
      <c r="B1" s="3">
        <v>24</v>
      </c>
      <c r="C1" s="3">
        <v>1</v>
      </c>
      <c r="D1" s="3">
        <v>55992.294000000002</v>
      </c>
      <c r="E1" s="3">
        <v>1.24</v>
      </c>
      <c r="F1" s="3">
        <v>187</v>
      </c>
      <c r="H1" s="5" t="s">
        <v>13</v>
      </c>
      <c r="I1" s="5" t="s">
        <v>14</v>
      </c>
      <c r="J1" s="5" t="s">
        <v>10</v>
      </c>
      <c r="K1" s="2"/>
      <c r="L1" s="2">
        <v>1</v>
      </c>
      <c r="M1" s="2">
        <v>2</v>
      </c>
      <c r="N1" s="2">
        <v>3</v>
      </c>
      <c r="O1" s="2">
        <v>4</v>
      </c>
      <c r="P1" s="2">
        <v>5</v>
      </c>
      <c r="Q1" s="2">
        <v>6</v>
      </c>
      <c r="R1" s="2">
        <v>7</v>
      </c>
      <c r="S1" s="2">
        <v>8</v>
      </c>
      <c r="T1" s="2">
        <v>9</v>
      </c>
      <c r="U1" s="2">
        <v>10</v>
      </c>
      <c r="W1" s="2" t="s">
        <v>11</v>
      </c>
      <c r="X1" s="2"/>
      <c r="Y1" s="2" t="s">
        <v>9</v>
      </c>
      <c r="Z1" s="2"/>
      <c r="AM1" s="5" t="s">
        <v>12</v>
      </c>
    </row>
    <row r="2" spans="1:39" x14ac:dyDescent="0.25">
      <c r="A2" s="3" t="s">
        <v>2</v>
      </c>
      <c r="B2" s="3">
        <v>24</v>
      </c>
      <c r="C2" s="3">
        <v>1</v>
      </c>
      <c r="D2" s="3">
        <v>55994.063000000002</v>
      </c>
      <c r="E2" s="3">
        <v>1.24</v>
      </c>
      <c r="F2" s="3">
        <v>205</v>
      </c>
      <c r="H2" s="3" t="s">
        <v>2</v>
      </c>
      <c r="I2" s="3">
        <v>24</v>
      </c>
      <c r="J2" s="3">
        <v>1</v>
      </c>
      <c r="L2" s="3">
        <f ca="1">INDIRECT("D"&amp;1+(ROW(D1)-1)*10+COLUMN(A1)-1)</f>
        <v>55992.294000000002</v>
      </c>
      <c r="M2" s="3">
        <f t="shared" ref="M2:U10" ca="1" si="0">INDIRECT("D"&amp;1+(ROW(E1)-1)*10+COLUMN(B1)-1)</f>
        <v>55994.063000000002</v>
      </c>
      <c r="N2" s="3">
        <f t="shared" ca="1" si="0"/>
        <v>55991.839</v>
      </c>
      <c r="O2" s="3">
        <f t="shared" ca="1" si="0"/>
        <v>55960.821000000004</v>
      </c>
      <c r="P2" s="3">
        <f t="shared" ca="1" si="0"/>
        <v>55968.373</v>
      </c>
      <c r="Q2" s="3">
        <f t="shared" ca="1" si="0"/>
        <v>55984.305999999997</v>
      </c>
      <c r="R2" s="3">
        <f t="shared" ca="1" si="0"/>
        <v>55985.328000000001</v>
      </c>
      <c r="S2" s="3">
        <f t="shared" ca="1" si="0"/>
        <v>55962.788</v>
      </c>
      <c r="T2" s="3">
        <f t="shared" ca="1" si="0"/>
        <v>55982.707000000002</v>
      </c>
      <c r="U2" s="3">
        <f t="shared" ca="1" si="0"/>
        <v>55983.758999999998</v>
      </c>
      <c r="W2" s="3">
        <f ca="1">AVERAGE(L2:U2)</f>
        <v>55980.627799999995</v>
      </c>
      <c r="Y2" s="3">
        <f ca="1">Total!E2</f>
        <v>55722.476000000002</v>
      </c>
      <c r="AB2" s="3">
        <f t="shared" ref="AB2:AK10" ca="1" si="1">(L2-$Y2)/$Y2</f>
        <v>4.8421753548783314E-3</v>
      </c>
      <c r="AC2" s="3">
        <f t="shared" ca="1" si="1"/>
        <v>4.8739219700143889E-3</v>
      </c>
      <c r="AD2" s="3">
        <f t="shared" ca="1" si="1"/>
        <v>4.8340098885770533E-3</v>
      </c>
      <c r="AE2" s="3">
        <f t="shared" ca="1" si="1"/>
        <v>4.2773583858693063E-3</v>
      </c>
      <c r="AF2" s="3">
        <f t="shared" ca="1" si="1"/>
        <v>4.4128871803901393E-3</v>
      </c>
      <c r="AG2" s="3">
        <f t="shared" ca="1" si="1"/>
        <v>4.6988220695719706E-3</v>
      </c>
      <c r="AH2" s="3">
        <f t="shared" ca="1" si="1"/>
        <v>4.7171629631102344E-3</v>
      </c>
      <c r="AI2" s="3">
        <f t="shared" ca="1" si="1"/>
        <v>4.3126583248023305E-3</v>
      </c>
      <c r="AJ2" s="3">
        <f t="shared" ca="1" si="1"/>
        <v>4.6701262879991143E-3</v>
      </c>
      <c r="AK2" s="3">
        <f t="shared" ca="1" si="1"/>
        <v>4.6890055639307159E-3</v>
      </c>
      <c r="AM2" s="3">
        <f ca="1">SUM(AB2:AK2)</f>
        <v>4.6328127989143583E-2</v>
      </c>
    </row>
    <row r="3" spans="1:39" x14ac:dyDescent="0.25">
      <c r="A3" s="3" t="s">
        <v>2</v>
      </c>
      <c r="B3" s="3">
        <v>24</v>
      </c>
      <c r="C3" s="3">
        <v>1</v>
      </c>
      <c r="D3" s="3">
        <v>55991.839</v>
      </c>
      <c r="E3" s="3">
        <v>1.236</v>
      </c>
      <c r="F3" s="3">
        <v>217</v>
      </c>
      <c r="H3" s="3" t="s">
        <v>2</v>
      </c>
      <c r="I3" s="3">
        <v>47</v>
      </c>
      <c r="J3" s="3">
        <v>1</v>
      </c>
      <c r="L3" s="3">
        <f t="shared" ref="L3:L10" ca="1" si="2">INDIRECT("D"&amp;1+(ROW(D2)-1)*10+COLUMN(A2)-1)</f>
        <v>126319.962</v>
      </c>
      <c r="M3" s="3">
        <f t="shared" ca="1" si="0"/>
        <v>126293.33500000001</v>
      </c>
      <c r="N3" s="3">
        <f t="shared" ca="1" si="0"/>
        <v>126234.003</v>
      </c>
      <c r="O3" s="3">
        <f t="shared" ca="1" si="0"/>
        <v>126277.63099999999</v>
      </c>
      <c r="P3" s="3">
        <f t="shared" ca="1" si="0"/>
        <v>126203.38099999999</v>
      </c>
      <c r="Q3" s="3">
        <f t="shared" ca="1" si="0"/>
        <v>126313.171</v>
      </c>
      <c r="R3" s="3">
        <f t="shared" ca="1" si="0"/>
        <v>126293.553</v>
      </c>
      <c r="S3" s="3">
        <f t="shared" ca="1" si="0"/>
        <v>126260.897</v>
      </c>
      <c r="T3" s="3">
        <f t="shared" ca="1" si="0"/>
        <v>126269.871</v>
      </c>
      <c r="U3" s="3">
        <f t="shared" ca="1" si="0"/>
        <v>126078.694</v>
      </c>
      <c r="W3" s="3">
        <f t="shared" ref="W3:W10" ca="1" si="3">AVERAGE(L3:U3)</f>
        <v>126254.44979999999</v>
      </c>
      <c r="Y3" s="3">
        <f ca="1">Total!E3</f>
        <v>126021.209</v>
      </c>
      <c r="AB3" s="3">
        <f t="shared" ca="1" si="1"/>
        <v>2.3706565138570997E-3</v>
      </c>
      <c r="AC3" s="3">
        <f t="shared" ca="1" si="1"/>
        <v>2.1593666824764697E-3</v>
      </c>
      <c r="AD3" s="3">
        <f t="shared" ca="1" si="1"/>
        <v>1.6885570428069327E-3</v>
      </c>
      <c r="AE3" s="3">
        <f t="shared" ca="1" si="1"/>
        <v>2.0347527375331829E-3</v>
      </c>
      <c r="AF3" s="3">
        <f t="shared" ca="1" si="1"/>
        <v>1.4455661983054883E-3</v>
      </c>
      <c r="AG3" s="3">
        <f t="shared" ca="1" si="1"/>
        <v>2.3167687591379919E-3</v>
      </c>
      <c r="AH3" s="3">
        <f t="shared" ca="1" si="1"/>
        <v>2.1610965500259349E-3</v>
      </c>
      <c r="AI3" s="3">
        <f t="shared" ca="1" si="1"/>
        <v>1.9019655651771651E-3</v>
      </c>
      <c r="AJ3" s="3">
        <f t="shared" ca="1" si="1"/>
        <v>1.9731758009082154E-3</v>
      </c>
      <c r="AK3" s="3">
        <f t="shared" ca="1" si="1"/>
        <v>4.5615337653204534E-4</v>
      </c>
      <c r="AM3" s="3">
        <f t="shared" ref="AM3:AM10" ca="1" si="4">SUM(AB3:AK3)</f>
        <v>1.8508059226760527E-2</v>
      </c>
    </row>
    <row r="4" spans="1:39" x14ac:dyDescent="0.25">
      <c r="A4" s="3" t="s">
        <v>2</v>
      </c>
      <c r="B4" s="3">
        <v>24</v>
      </c>
      <c r="C4" s="3">
        <v>1</v>
      </c>
      <c r="D4" s="3">
        <v>55960.821000000004</v>
      </c>
      <c r="E4" s="3">
        <v>1.2350000000000001</v>
      </c>
      <c r="F4" s="3">
        <v>201</v>
      </c>
      <c r="H4" s="3" t="s">
        <v>2</v>
      </c>
      <c r="I4" s="3">
        <v>100</v>
      </c>
      <c r="J4" s="3">
        <v>1</v>
      </c>
      <c r="L4" s="3">
        <f t="shared" ca="1" si="2"/>
        <v>1217130.388</v>
      </c>
      <c r="M4" s="3">
        <f t="shared" ca="1" si="0"/>
        <v>1216959.845</v>
      </c>
      <c r="N4" s="3">
        <f t="shared" ca="1" si="0"/>
        <v>1217281.024</v>
      </c>
      <c r="O4" s="3">
        <f t="shared" ca="1" si="0"/>
        <v>1216862.577</v>
      </c>
      <c r="P4" s="3">
        <f t="shared" ca="1" si="0"/>
        <v>1217261.8030000001</v>
      </c>
      <c r="Q4" s="3">
        <f t="shared" ca="1" si="0"/>
        <v>1217834.5970000001</v>
      </c>
      <c r="R4" s="3">
        <f t="shared" ca="1" si="0"/>
        <v>1216868.4169999999</v>
      </c>
      <c r="S4" s="3">
        <f t="shared" ca="1" si="0"/>
        <v>1217048.8740000001</v>
      </c>
      <c r="T4" s="3">
        <f t="shared" ca="1" si="0"/>
        <v>1216957.5290000001</v>
      </c>
      <c r="U4" s="3">
        <f t="shared" ca="1" si="0"/>
        <v>1217283.07</v>
      </c>
      <c r="W4" s="3">
        <f t="shared" ca="1" si="3"/>
        <v>1217148.8124000002</v>
      </c>
      <c r="Y4" s="3">
        <f ca="1">Total!E4</f>
        <v>1216556.6340000001</v>
      </c>
      <c r="AB4" s="3">
        <f t="shared" ca="1" si="1"/>
        <v>4.716212825320528E-4</v>
      </c>
      <c r="AC4" s="3">
        <f t="shared" ca="1" si="1"/>
        <v>3.3143627574011797E-4</v>
      </c>
      <c r="AD4" s="3">
        <f t="shared" ca="1" si="1"/>
        <v>5.954428916458463E-4</v>
      </c>
      <c r="AE4" s="3">
        <f t="shared" ca="1" si="1"/>
        <v>2.514827435481069E-4</v>
      </c>
      <c r="AF4" s="3">
        <f t="shared" ca="1" si="1"/>
        <v>5.796433805809935E-4</v>
      </c>
      <c r="AG4" s="3">
        <f t="shared" ca="1" si="1"/>
        <v>1.050475550651585E-3</v>
      </c>
      <c r="AH4" s="3">
        <f t="shared" ca="1" si="1"/>
        <v>2.5628317768872663E-4</v>
      </c>
      <c r="AI4" s="3">
        <f t="shared" ca="1" si="1"/>
        <v>4.0461741462994699E-4</v>
      </c>
      <c r="AJ4" s="3">
        <f t="shared" ca="1" si="1"/>
        <v>3.2953254192687144E-4</v>
      </c>
      <c r="AK4" s="3">
        <f t="shared" ca="1" si="1"/>
        <v>5.9712468757947435E-4</v>
      </c>
      <c r="AM4" s="3">
        <f t="shared" ca="1" si="4"/>
        <v>4.8676599465237213E-3</v>
      </c>
    </row>
    <row r="5" spans="1:39" x14ac:dyDescent="0.25">
      <c r="A5" s="3" t="s">
        <v>2</v>
      </c>
      <c r="B5" s="3">
        <v>24</v>
      </c>
      <c r="C5" s="3">
        <v>1</v>
      </c>
      <c r="D5" s="3">
        <v>55968.373</v>
      </c>
      <c r="E5" s="3">
        <v>1.238</v>
      </c>
      <c r="F5" s="3">
        <v>206</v>
      </c>
      <c r="H5" s="3" t="s">
        <v>1</v>
      </c>
      <c r="I5" s="3">
        <v>30</v>
      </c>
      <c r="J5" s="3">
        <v>1</v>
      </c>
      <c r="L5" s="3">
        <f t="shared" ca="1" si="2"/>
        <v>20042.978999999999</v>
      </c>
      <c r="M5" s="3">
        <f t="shared" ca="1" si="0"/>
        <v>19995.737000000001</v>
      </c>
      <c r="N5" s="3">
        <f t="shared" ca="1" si="0"/>
        <v>20084.330000000002</v>
      </c>
      <c r="O5" s="3">
        <f t="shared" ca="1" si="0"/>
        <v>20130.544999999998</v>
      </c>
      <c r="P5" s="3">
        <f t="shared" ca="1" si="0"/>
        <v>20090.791000000001</v>
      </c>
      <c r="Q5" s="3">
        <f t="shared" ca="1" si="0"/>
        <v>19982.423999999999</v>
      </c>
      <c r="R5" s="3">
        <f t="shared" ca="1" si="0"/>
        <v>20011.455999999998</v>
      </c>
      <c r="S5" s="3">
        <f t="shared" ca="1" si="0"/>
        <v>20000.876</v>
      </c>
      <c r="T5" s="3">
        <f t="shared" ca="1" si="0"/>
        <v>20057.411</v>
      </c>
      <c r="U5" s="3">
        <f t="shared" ca="1" si="0"/>
        <v>19998.923999999999</v>
      </c>
      <c r="W5" s="3">
        <f t="shared" ca="1" si="3"/>
        <v>20039.547299999998</v>
      </c>
      <c r="Y5" s="3">
        <f ca="1">Total!E5</f>
        <v>19969.536</v>
      </c>
      <c r="AB5" s="3">
        <f t="shared" ca="1" si="1"/>
        <v>3.6777519517729057E-3</v>
      </c>
      <c r="AC5" s="3">
        <f t="shared" ca="1" si="1"/>
        <v>1.3120485122939728E-3</v>
      </c>
      <c r="AD5" s="3">
        <f t="shared" ca="1" si="1"/>
        <v>5.7484560482527827E-3</v>
      </c>
      <c r="AE5" s="3">
        <f t="shared" ca="1" si="1"/>
        <v>8.0627311520907741E-3</v>
      </c>
      <c r="AF5" s="3">
        <f t="shared" ca="1" si="1"/>
        <v>6.0719988686768192E-3</v>
      </c>
      <c r="AG5" s="3">
        <f t="shared" ca="1" si="1"/>
        <v>6.4538304745783825E-4</v>
      </c>
      <c r="AH5" s="3">
        <f t="shared" ca="1" si="1"/>
        <v>2.0991974976283002E-3</v>
      </c>
      <c r="AI5" s="3">
        <f t="shared" ca="1" si="1"/>
        <v>1.5693904956029096E-3</v>
      </c>
      <c r="AJ5" s="3">
        <f t="shared" ca="1" si="1"/>
        <v>4.4004527696587439E-3</v>
      </c>
      <c r="AK5" s="3">
        <f t="shared" ca="1" si="1"/>
        <v>1.4716416044919126E-3</v>
      </c>
      <c r="AM5" s="3">
        <f t="shared" ca="1" si="4"/>
        <v>3.505905194792696E-2</v>
      </c>
    </row>
    <row r="6" spans="1:39" x14ac:dyDescent="0.25">
      <c r="A6" s="3" t="s">
        <v>2</v>
      </c>
      <c r="B6" s="3">
        <v>24</v>
      </c>
      <c r="C6" s="3">
        <v>1</v>
      </c>
      <c r="D6" s="3">
        <v>55984.305999999997</v>
      </c>
      <c r="E6" s="3">
        <v>1.236</v>
      </c>
      <c r="F6" s="3">
        <v>216</v>
      </c>
      <c r="H6" s="3" t="s">
        <v>1</v>
      </c>
      <c r="I6" s="3">
        <v>50</v>
      </c>
      <c r="J6" s="3">
        <v>1</v>
      </c>
      <c r="L6" s="3">
        <f t="shared" ca="1" si="2"/>
        <v>35453.720999999998</v>
      </c>
      <c r="M6" s="3">
        <f t="shared" ca="1" si="0"/>
        <v>35382.879999999997</v>
      </c>
      <c r="N6" s="3">
        <f t="shared" ca="1" si="0"/>
        <v>35339.449999999997</v>
      </c>
      <c r="O6" s="3">
        <f t="shared" ca="1" si="0"/>
        <v>35378.311000000002</v>
      </c>
      <c r="P6" s="3">
        <f t="shared" ca="1" si="0"/>
        <v>35422.131000000001</v>
      </c>
      <c r="Q6" s="3">
        <f t="shared" ca="1" si="0"/>
        <v>35459.123</v>
      </c>
      <c r="R6" s="3">
        <f t="shared" ca="1" si="0"/>
        <v>35447.697</v>
      </c>
      <c r="S6" s="3">
        <f t="shared" ca="1" si="0"/>
        <v>35437.411999999997</v>
      </c>
      <c r="T6" s="3">
        <f t="shared" ca="1" si="0"/>
        <v>35431.368999999999</v>
      </c>
      <c r="U6" s="3">
        <f t="shared" ca="1" si="0"/>
        <v>35466.103000000003</v>
      </c>
      <c r="W6" s="3">
        <f t="shared" ca="1" si="3"/>
        <v>35421.8197</v>
      </c>
      <c r="Y6" s="3">
        <f ca="1">Total!E6</f>
        <v>35277.981</v>
      </c>
      <c r="AB6" s="3">
        <f t="shared" ca="1" si="1"/>
        <v>4.9815776021875507E-3</v>
      </c>
      <c r="AC6" s="3">
        <f t="shared" ca="1" si="1"/>
        <v>2.9734978314092751E-3</v>
      </c>
      <c r="AD6" s="3">
        <f t="shared" ca="1" si="1"/>
        <v>1.7424183090295707E-3</v>
      </c>
      <c r="AE6" s="3">
        <f t="shared" ca="1" si="1"/>
        <v>2.8439836168629305E-3</v>
      </c>
      <c r="AF6" s="3">
        <f t="shared" ca="1" si="1"/>
        <v>4.0861181936687778E-3</v>
      </c>
      <c r="AG6" s="3">
        <f t="shared" ca="1" si="1"/>
        <v>5.1347042791366048E-3</v>
      </c>
      <c r="AH6" s="3">
        <f t="shared" ca="1" si="1"/>
        <v>4.8108195307435637E-3</v>
      </c>
      <c r="AI6" s="3">
        <f t="shared" ca="1" si="1"/>
        <v>4.5192779031202734E-3</v>
      </c>
      <c r="AJ6" s="3">
        <f t="shared" ca="1" si="1"/>
        <v>4.3479812521016728E-3</v>
      </c>
      <c r="AK6" s="3">
        <f t="shared" ca="1" si="1"/>
        <v>5.3325614070715392E-3</v>
      </c>
      <c r="AM6" s="3">
        <f t="shared" ca="1" si="4"/>
        <v>4.0772939925331764E-2</v>
      </c>
    </row>
    <row r="7" spans="1:39" x14ac:dyDescent="0.25">
      <c r="A7" s="3" t="s">
        <v>2</v>
      </c>
      <c r="B7" s="3">
        <v>24</v>
      </c>
      <c r="C7" s="3">
        <v>1</v>
      </c>
      <c r="D7" s="3">
        <v>55985.328000000001</v>
      </c>
      <c r="E7" s="3">
        <v>1.238</v>
      </c>
      <c r="F7" s="3">
        <v>205</v>
      </c>
      <c r="H7" s="3" t="s">
        <v>1</v>
      </c>
      <c r="I7" s="3">
        <v>100</v>
      </c>
      <c r="J7" s="3">
        <v>1</v>
      </c>
      <c r="L7" s="3">
        <f t="shared" ca="1" si="2"/>
        <v>63084.642</v>
      </c>
      <c r="M7" s="3">
        <f t="shared" ca="1" si="0"/>
        <v>63236.887000000002</v>
      </c>
      <c r="N7" s="3">
        <f t="shared" ca="1" si="0"/>
        <v>63167.938999999998</v>
      </c>
      <c r="O7" s="3">
        <f t="shared" ca="1" si="0"/>
        <v>63139.459000000003</v>
      </c>
      <c r="P7" s="3">
        <f t="shared" ca="1" si="0"/>
        <v>63100.483999999997</v>
      </c>
      <c r="Q7" s="3">
        <f t="shared" ca="1" si="0"/>
        <v>63094.925999999999</v>
      </c>
      <c r="R7" s="3">
        <f t="shared" ca="1" si="0"/>
        <v>63066.864000000001</v>
      </c>
      <c r="S7" s="3">
        <f t="shared" ca="1" si="0"/>
        <v>63240.81</v>
      </c>
      <c r="T7" s="3">
        <f t="shared" ca="1" si="0"/>
        <v>63220.055</v>
      </c>
      <c r="U7" s="3">
        <f t="shared" ca="1" si="0"/>
        <v>63189.921000000002</v>
      </c>
      <c r="W7" s="3">
        <f t="shared" ca="1" si="3"/>
        <v>63154.198699999994</v>
      </c>
      <c r="Y7" s="3">
        <f ca="1">Total!E7</f>
        <v>63035.512000000002</v>
      </c>
      <c r="AB7" s="3">
        <f t="shared" ca="1" si="1"/>
        <v>7.7940193457931106E-4</v>
      </c>
      <c r="AC7" s="3">
        <f t="shared" ca="1" si="1"/>
        <v>3.1946278155081851E-3</v>
      </c>
      <c r="AD7" s="3">
        <f t="shared" ca="1" si="1"/>
        <v>2.1008316708841204E-3</v>
      </c>
      <c r="AE7" s="3">
        <f t="shared" ca="1" si="1"/>
        <v>1.6490228555611655E-3</v>
      </c>
      <c r="AF7" s="3">
        <f t="shared" ca="1" si="1"/>
        <v>1.0307205881026919E-3</v>
      </c>
      <c r="AG7" s="3">
        <f t="shared" ca="1" si="1"/>
        <v>9.4254806719103082E-4</v>
      </c>
      <c r="AH7" s="3">
        <f t="shared" ca="1" si="1"/>
        <v>4.9737043462102679E-4</v>
      </c>
      <c r="AI7" s="3">
        <f t="shared" ca="1" si="1"/>
        <v>3.2568625761300266E-3</v>
      </c>
      <c r="AJ7" s="3">
        <f t="shared" ca="1" si="1"/>
        <v>2.9276037291487032E-3</v>
      </c>
      <c r="AK7" s="3">
        <f t="shared" ca="1" si="1"/>
        <v>2.4495557361380619E-3</v>
      </c>
      <c r="AM7" s="3">
        <f t="shared" ca="1" si="4"/>
        <v>1.8828545407864324E-2</v>
      </c>
    </row>
    <row r="8" spans="1:39" x14ac:dyDescent="0.25">
      <c r="A8" s="3" t="s">
        <v>2</v>
      </c>
      <c r="B8" s="3">
        <v>24</v>
      </c>
      <c r="C8" s="3">
        <v>1</v>
      </c>
      <c r="D8" s="3">
        <v>55962.788</v>
      </c>
      <c r="E8" s="3">
        <v>1.2649999999999999</v>
      </c>
      <c r="F8" s="3">
        <v>213</v>
      </c>
      <c r="H8" s="3" t="s">
        <v>0</v>
      </c>
      <c r="I8" s="3">
        <v>25</v>
      </c>
      <c r="J8" s="3">
        <v>1</v>
      </c>
      <c r="L8" s="3">
        <f t="shared" ca="1" si="2"/>
        <v>723.63099999999997</v>
      </c>
      <c r="M8" s="3">
        <f t="shared" ca="1" si="0"/>
        <v>723.89400000000001</v>
      </c>
      <c r="N8" s="3">
        <f t="shared" ca="1" si="0"/>
        <v>723.577</v>
      </c>
      <c r="O8" s="3">
        <f t="shared" ca="1" si="0"/>
        <v>723.51</v>
      </c>
      <c r="P8" s="3">
        <f t="shared" ca="1" si="0"/>
        <v>723.34500000000003</v>
      </c>
      <c r="Q8" s="3">
        <f t="shared" ca="1" si="0"/>
        <v>723.38099999999997</v>
      </c>
      <c r="R8" s="3">
        <f t="shared" ca="1" si="0"/>
        <v>723.22900000000004</v>
      </c>
      <c r="S8" s="3">
        <f t="shared" ca="1" si="0"/>
        <v>723.14</v>
      </c>
      <c r="T8" s="3">
        <f t="shared" ca="1" si="0"/>
        <v>723.12900000000002</v>
      </c>
      <c r="U8" s="3">
        <f t="shared" ca="1" si="0"/>
        <v>723.10299999999995</v>
      </c>
      <c r="W8" s="3">
        <f t="shared" ca="1" si="3"/>
        <v>723.39390000000014</v>
      </c>
      <c r="Y8" s="3">
        <f ca="1">Total!E8</f>
        <v>722.92</v>
      </c>
      <c r="AB8" s="3">
        <f t="shared" ca="1" si="1"/>
        <v>9.8351131522161905E-4</v>
      </c>
      <c r="AC8" s="3">
        <f t="shared" ca="1" si="1"/>
        <v>1.3473136723289527E-3</v>
      </c>
      <c r="AD8" s="3">
        <f t="shared" ca="1" si="1"/>
        <v>9.0881425330609081E-4</v>
      </c>
      <c r="AE8" s="3">
        <f t="shared" ca="1" si="1"/>
        <v>8.1613456537380608E-4</v>
      </c>
      <c r="AF8" s="3">
        <f t="shared" ca="1" si="1"/>
        <v>5.8789354285407542E-4</v>
      </c>
      <c r="AG8" s="3">
        <f t="shared" ca="1" si="1"/>
        <v>6.3769158413104184E-4</v>
      </c>
      <c r="AH8" s="3">
        <f t="shared" ca="1" si="1"/>
        <v>4.2743318762806783E-4</v>
      </c>
      <c r="AI8" s="3">
        <f t="shared" ca="1" si="1"/>
        <v>3.0432136335974559E-4</v>
      </c>
      <c r="AJ8" s="3">
        <f t="shared" ca="1" si="1"/>
        <v>2.8910529519180552E-4</v>
      </c>
      <c r="AK8" s="3">
        <f t="shared" ca="1" si="1"/>
        <v>2.5314004315829238E-4</v>
      </c>
      <c r="AM8" s="3">
        <f t="shared" ca="1" si="4"/>
        <v>6.5553588225534982E-3</v>
      </c>
    </row>
    <row r="9" spans="1:39" x14ac:dyDescent="0.25">
      <c r="A9" s="3" t="s">
        <v>2</v>
      </c>
      <c r="B9" s="3">
        <v>24</v>
      </c>
      <c r="C9" s="3">
        <v>1</v>
      </c>
      <c r="D9" s="3">
        <v>55982.707000000002</v>
      </c>
      <c r="E9" s="3">
        <v>1.2370000000000001</v>
      </c>
      <c r="F9" s="3">
        <v>216</v>
      </c>
      <c r="H9" s="3" t="s">
        <v>0</v>
      </c>
      <c r="I9" s="3">
        <v>50</v>
      </c>
      <c r="J9" s="3">
        <v>1</v>
      </c>
      <c r="L9" s="3">
        <f t="shared" ca="1" si="2"/>
        <v>1572.1369999999999</v>
      </c>
      <c r="M9" s="3">
        <f t="shared" ca="1" si="0"/>
        <v>1573.2550000000001</v>
      </c>
      <c r="N9" s="3">
        <f t="shared" ca="1" si="0"/>
        <v>1572.846</v>
      </c>
      <c r="O9" s="3">
        <f t="shared" ca="1" si="0"/>
        <v>1572.5219999999999</v>
      </c>
      <c r="P9" s="3">
        <f t="shared" ca="1" si="0"/>
        <v>1571.403</v>
      </c>
      <c r="Q9" s="3">
        <f t="shared" ca="1" si="0"/>
        <v>1573.2270000000001</v>
      </c>
      <c r="R9" s="3">
        <f t="shared" ca="1" si="0"/>
        <v>1571.8820000000001</v>
      </c>
      <c r="S9" s="3">
        <f t="shared" ca="1" si="0"/>
        <v>1572.9570000000001</v>
      </c>
      <c r="T9" s="3">
        <f t="shared" ca="1" si="0"/>
        <v>1572.9860000000001</v>
      </c>
      <c r="U9" s="3">
        <f t="shared" ca="1" si="0"/>
        <v>1571.9949999999999</v>
      </c>
      <c r="W9" s="3">
        <f t="shared" ca="1" si="3"/>
        <v>1572.521</v>
      </c>
      <c r="Y9" s="3">
        <f ca="1">Total!E9</f>
        <v>1570.17</v>
      </c>
      <c r="AB9" s="3">
        <f t="shared" ca="1" si="1"/>
        <v>1.2527305960500269E-3</v>
      </c>
      <c r="AC9" s="3">
        <f t="shared" ca="1" si="1"/>
        <v>1.9647554086500421E-3</v>
      </c>
      <c r="AD9" s="3">
        <f t="shared" ca="1" si="1"/>
        <v>1.7042740594966983E-3</v>
      </c>
      <c r="AE9" s="3">
        <f t="shared" ca="1" si="1"/>
        <v>1.497926976059829E-3</v>
      </c>
      <c r="AF9" s="3">
        <f t="shared" ca="1" si="1"/>
        <v>7.8526528974566274E-4</v>
      </c>
      <c r="AG9" s="3">
        <f t="shared" ca="1" si="1"/>
        <v>1.9469229446493158E-3</v>
      </c>
      <c r="AH9" s="3">
        <f t="shared" ca="1" si="1"/>
        <v>1.090327798900749E-3</v>
      </c>
      <c r="AI9" s="3">
        <f t="shared" ca="1" si="1"/>
        <v>1.7749670417853062E-3</v>
      </c>
      <c r="AJ9" s="3">
        <f t="shared" ca="1" si="1"/>
        <v>1.7934363795003285E-3</v>
      </c>
      <c r="AK9" s="3">
        <f t="shared" ca="1" si="1"/>
        <v>1.1622945286178044E-3</v>
      </c>
      <c r="AM9" s="3">
        <f t="shared" ca="1" si="4"/>
        <v>1.4972901023455762E-2</v>
      </c>
    </row>
    <row r="10" spans="1:39" x14ac:dyDescent="0.25">
      <c r="A10" s="3" t="s">
        <v>2</v>
      </c>
      <c r="B10" s="3">
        <v>24</v>
      </c>
      <c r="C10" s="3">
        <v>1</v>
      </c>
      <c r="D10" s="3">
        <v>55983.758999999998</v>
      </c>
      <c r="E10" s="3">
        <v>1.2370000000000001</v>
      </c>
      <c r="F10" s="3">
        <v>205</v>
      </c>
      <c r="H10" s="3" t="s">
        <v>28</v>
      </c>
      <c r="I10" s="3">
        <v>100</v>
      </c>
      <c r="J10" s="3">
        <v>1</v>
      </c>
      <c r="L10" s="3">
        <f t="shared" ca="1" si="2"/>
        <v>3299.0740000000001</v>
      </c>
      <c r="M10" s="3">
        <f t="shared" ca="1" si="0"/>
        <v>3295.3240000000001</v>
      </c>
      <c r="N10" s="3">
        <f t="shared" ca="1" si="0"/>
        <v>3293.1219999999998</v>
      </c>
      <c r="O10" s="3">
        <f t="shared" ca="1" si="0"/>
        <v>3293.4250000000002</v>
      </c>
      <c r="P10" s="3">
        <f t="shared" ca="1" si="0"/>
        <v>3293.9929999999999</v>
      </c>
      <c r="Q10" s="3">
        <f t="shared" ca="1" si="0"/>
        <v>3292.0949999999998</v>
      </c>
      <c r="R10" s="3">
        <f t="shared" ca="1" si="0"/>
        <v>3292.4409999999998</v>
      </c>
      <c r="S10" s="3">
        <f t="shared" ca="1" si="0"/>
        <v>3296.15</v>
      </c>
      <c r="T10" s="3">
        <f t="shared" ca="1" si="0"/>
        <v>3291.9029999999998</v>
      </c>
      <c r="U10" s="3">
        <f t="shared" ca="1" si="0"/>
        <v>3292.6579999999999</v>
      </c>
      <c r="W10" s="3">
        <f t="shared" ca="1" si="3"/>
        <v>3294.0184999999997</v>
      </c>
      <c r="Y10" s="3">
        <f ca="1">Total!E10</f>
        <v>3290.5340000000001</v>
      </c>
      <c r="AB10" s="3">
        <f t="shared" ca="1" si="1"/>
        <v>2.5953234338256231E-3</v>
      </c>
      <c r="AC10" s="3">
        <f t="shared" ca="1" si="1"/>
        <v>1.4556907784572242E-3</v>
      </c>
      <c r="AD10" s="3">
        <f t="shared" ca="1" si="1"/>
        <v>7.8649848322483163E-4</v>
      </c>
      <c r="AE10" s="3">
        <f t="shared" ca="1" si="1"/>
        <v>8.7858080177870106E-4</v>
      </c>
      <c r="AF10" s="3">
        <f t="shared" ca="1" si="1"/>
        <v>1.0511971613117604E-3</v>
      </c>
      <c r="AG10" s="3">
        <f t="shared" ca="1" si="1"/>
        <v>4.7439108667459275E-4</v>
      </c>
      <c r="AH10" s="3">
        <f t="shared" ca="1" si="1"/>
        <v>5.7954119300991809E-4</v>
      </c>
      <c r="AI10" s="3">
        <f t="shared" ca="1" si="1"/>
        <v>1.7067138646797101E-3</v>
      </c>
      <c r="AJ10" s="3">
        <f t="shared" ca="1" si="1"/>
        <v>4.1604189471972851E-4</v>
      </c>
      <c r="AK10" s="3">
        <f t="shared" ca="1" si="1"/>
        <v>6.4548793600059933E-4</v>
      </c>
      <c r="AM10" s="3">
        <f t="shared" ca="1" si="4"/>
        <v>1.0589466633682688E-2</v>
      </c>
    </row>
    <row r="11" spans="1:39" x14ac:dyDescent="0.25">
      <c r="A11" s="3" t="s">
        <v>2</v>
      </c>
      <c r="B11" s="3">
        <v>47</v>
      </c>
      <c r="C11" s="3">
        <v>1</v>
      </c>
      <c r="D11" s="3">
        <v>126319.962</v>
      </c>
      <c r="E11" s="3">
        <v>4.1399999999999997</v>
      </c>
      <c r="F11" s="3">
        <v>195</v>
      </c>
    </row>
    <row r="12" spans="1:39" x14ac:dyDescent="0.25">
      <c r="A12" s="3" t="s">
        <v>2</v>
      </c>
      <c r="B12" s="3">
        <v>47</v>
      </c>
      <c r="C12" s="3">
        <v>1</v>
      </c>
      <c r="D12" s="3">
        <v>126293.33500000001</v>
      </c>
      <c r="E12" s="3">
        <v>4.1399999999999997</v>
      </c>
      <c r="F12" s="3">
        <v>200</v>
      </c>
    </row>
    <row r="13" spans="1:39" x14ac:dyDescent="0.25">
      <c r="A13" s="3" t="s">
        <v>2</v>
      </c>
      <c r="B13" s="3">
        <v>47</v>
      </c>
      <c r="C13" s="3">
        <v>1</v>
      </c>
      <c r="D13" s="3">
        <v>126234.003</v>
      </c>
      <c r="E13" s="3">
        <v>4.1459999999999999</v>
      </c>
      <c r="F13" s="3">
        <v>194</v>
      </c>
    </row>
    <row r="14" spans="1:39" x14ac:dyDescent="0.25">
      <c r="A14" s="3" t="s">
        <v>2</v>
      </c>
      <c r="B14" s="3">
        <v>47</v>
      </c>
      <c r="C14" s="3">
        <v>1</v>
      </c>
      <c r="D14" s="3">
        <v>126277.63099999999</v>
      </c>
      <c r="E14" s="3">
        <v>4.1520000000000001</v>
      </c>
      <c r="F14" s="3">
        <v>192</v>
      </c>
    </row>
    <row r="15" spans="1:39" x14ac:dyDescent="0.25">
      <c r="A15" s="3" t="s">
        <v>2</v>
      </c>
      <c r="B15" s="3">
        <v>47</v>
      </c>
      <c r="C15" s="3">
        <v>1</v>
      </c>
      <c r="D15" s="3">
        <v>126203.38099999999</v>
      </c>
      <c r="E15" s="3">
        <v>4.1440000000000001</v>
      </c>
      <c r="F15" s="3">
        <v>203</v>
      </c>
    </row>
    <row r="16" spans="1:39" x14ac:dyDescent="0.25">
      <c r="A16" s="3" t="s">
        <v>2</v>
      </c>
      <c r="B16" s="3">
        <v>47</v>
      </c>
      <c r="C16" s="3">
        <v>1</v>
      </c>
      <c r="D16" s="3">
        <v>126313.171</v>
      </c>
      <c r="E16" s="3">
        <v>4.1470000000000002</v>
      </c>
      <c r="F16" s="3">
        <v>209</v>
      </c>
    </row>
    <row r="17" spans="1:6" x14ac:dyDescent="0.25">
      <c r="A17" s="3" t="s">
        <v>2</v>
      </c>
      <c r="B17" s="3">
        <v>47</v>
      </c>
      <c r="C17" s="3">
        <v>1</v>
      </c>
      <c r="D17" s="3">
        <v>126293.553</v>
      </c>
      <c r="E17" s="3">
        <v>4.1440000000000001</v>
      </c>
      <c r="F17" s="3">
        <v>210</v>
      </c>
    </row>
    <row r="18" spans="1:6" x14ac:dyDescent="0.25">
      <c r="A18" s="3" t="s">
        <v>2</v>
      </c>
      <c r="B18" s="3">
        <v>47</v>
      </c>
      <c r="C18" s="3">
        <v>1</v>
      </c>
      <c r="D18" s="3">
        <v>126260.897</v>
      </c>
      <c r="E18" s="3">
        <v>4.1399999999999997</v>
      </c>
      <c r="F18" s="3">
        <v>197</v>
      </c>
    </row>
    <row r="19" spans="1:6" x14ac:dyDescent="0.25">
      <c r="A19" s="3" t="s">
        <v>2</v>
      </c>
      <c r="B19" s="3">
        <v>47</v>
      </c>
      <c r="C19" s="3">
        <v>1</v>
      </c>
      <c r="D19" s="3">
        <v>126269.871</v>
      </c>
      <c r="E19" s="3">
        <v>4.141</v>
      </c>
      <c r="F19" s="3">
        <v>203</v>
      </c>
    </row>
    <row r="20" spans="1:6" x14ac:dyDescent="0.25">
      <c r="A20" s="3" t="s">
        <v>2</v>
      </c>
      <c r="B20" s="3">
        <v>47</v>
      </c>
      <c r="C20" s="3">
        <v>1</v>
      </c>
      <c r="D20" s="3">
        <v>126078.694</v>
      </c>
      <c r="E20" s="3">
        <v>4.1500000000000004</v>
      </c>
      <c r="F20" s="3">
        <v>201</v>
      </c>
    </row>
    <row r="21" spans="1:6" x14ac:dyDescent="0.25">
      <c r="A21" s="3" t="s">
        <v>2</v>
      </c>
      <c r="B21" s="3">
        <v>100</v>
      </c>
      <c r="C21" s="3">
        <v>1</v>
      </c>
      <c r="D21" s="3">
        <v>1217130.388</v>
      </c>
      <c r="E21" s="3">
        <v>22.068999999999999</v>
      </c>
      <c r="F21" s="3">
        <v>213</v>
      </c>
    </row>
    <row r="22" spans="1:6" x14ac:dyDescent="0.25">
      <c r="A22" s="3" t="s">
        <v>2</v>
      </c>
      <c r="B22" s="3">
        <v>100</v>
      </c>
      <c r="C22" s="3">
        <v>1</v>
      </c>
      <c r="D22" s="3">
        <v>1216959.845</v>
      </c>
      <c r="E22" s="3">
        <v>22.059000000000001</v>
      </c>
      <c r="F22" s="3">
        <v>215</v>
      </c>
    </row>
    <row r="23" spans="1:6" x14ac:dyDescent="0.25">
      <c r="A23" s="3" t="s">
        <v>2</v>
      </c>
      <c r="B23" s="3">
        <v>100</v>
      </c>
      <c r="C23" s="3">
        <v>1</v>
      </c>
      <c r="D23" s="3">
        <v>1217281.024</v>
      </c>
      <c r="E23" s="3">
        <v>22.076000000000001</v>
      </c>
      <c r="F23" s="3">
        <v>211</v>
      </c>
    </row>
    <row r="24" spans="1:6" x14ac:dyDescent="0.25">
      <c r="A24" s="3" t="s">
        <v>2</v>
      </c>
      <c r="B24" s="3">
        <v>100</v>
      </c>
      <c r="C24" s="3">
        <v>1</v>
      </c>
      <c r="D24" s="3">
        <v>1216862.577</v>
      </c>
      <c r="E24" s="3">
        <v>22.097999999999999</v>
      </c>
      <c r="F24" s="3">
        <v>213</v>
      </c>
    </row>
    <row r="25" spans="1:6" x14ac:dyDescent="0.25">
      <c r="A25" s="3" t="s">
        <v>2</v>
      </c>
      <c r="B25" s="3">
        <v>100</v>
      </c>
      <c r="C25" s="3">
        <v>1</v>
      </c>
      <c r="D25" s="3">
        <v>1217261.8030000001</v>
      </c>
      <c r="E25" s="3">
        <v>22.132999999999999</v>
      </c>
      <c r="F25" s="3">
        <v>214</v>
      </c>
    </row>
    <row r="26" spans="1:6" x14ac:dyDescent="0.25">
      <c r="A26" s="3" t="s">
        <v>2</v>
      </c>
      <c r="B26" s="3">
        <v>100</v>
      </c>
      <c r="C26" s="3">
        <v>1</v>
      </c>
      <c r="D26" s="3">
        <v>1217834.5970000001</v>
      </c>
      <c r="E26" s="3">
        <v>22.082999999999998</v>
      </c>
      <c r="F26" s="3">
        <v>210</v>
      </c>
    </row>
    <row r="27" spans="1:6" x14ac:dyDescent="0.25">
      <c r="A27" s="3" t="s">
        <v>2</v>
      </c>
      <c r="B27" s="3">
        <v>100</v>
      </c>
      <c r="C27" s="3">
        <v>1</v>
      </c>
      <c r="D27" s="3">
        <v>1216868.4169999999</v>
      </c>
      <c r="E27" s="3">
        <v>22.058</v>
      </c>
      <c r="F27" s="3">
        <v>210</v>
      </c>
    </row>
    <row r="28" spans="1:6" x14ac:dyDescent="0.25">
      <c r="A28" s="3" t="s">
        <v>2</v>
      </c>
      <c r="B28" s="3">
        <v>100</v>
      </c>
      <c r="C28" s="3">
        <v>1</v>
      </c>
      <c r="D28" s="3">
        <v>1217048.8740000001</v>
      </c>
      <c r="E28" s="3">
        <v>22.113</v>
      </c>
      <c r="F28" s="3">
        <v>213</v>
      </c>
    </row>
    <row r="29" spans="1:6" x14ac:dyDescent="0.25">
      <c r="A29" s="3" t="s">
        <v>2</v>
      </c>
      <c r="B29" s="3">
        <v>100</v>
      </c>
      <c r="C29" s="3">
        <v>1</v>
      </c>
      <c r="D29" s="3">
        <v>1216957.5290000001</v>
      </c>
      <c r="E29" s="3">
        <v>22.109000000000002</v>
      </c>
      <c r="F29" s="3">
        <v>214</v>
      </c>
    </row>
    <row r="30" spans="1:6" x14ac:dyDescent="0.25">
      <c r="A30" s="3" t="s">
        <v>2</v>
      </c>
      <c r="B30" s="3">
        <v>100</v>
      </c>
      <c r="C30" s="3">
        <v>1</v>
      </c>
      <c r="D30" s="3">
        <v>1217283.07</v>
      </c>
      <c r="E30" s="3">
        <v>22.071000000000002</v>
      </c>
      <c r="F30" s="3">
        <v>211</v>
      </c>
    </row>
    <row r="31" spans="1:6" x14ac:dyDescent="0.25">
      <c r="A31" s="3" t="s">
        <v>1</v>
      </c>
      <c r="B31" s="3">
        <v>30</v>
      </c>
      <c r="C31" s="3">
        <v>1</v>
      </c>
      <c r="D31" s="3">
        <v>20042.978999999999</v>
      </c>
      <c r="E31" s="3">
        <v>1.347</v>
      </c>
      <c r="F31" s="3">
        <v>153</v>
      </c>
    </row>
    <row r="32" spans="1:6" x14ac:dyDescent="0.25">
      <c r="A32" s="3" t="s">
        <v>1</v>
      </c>
      <c r="B32" s="3">
        <v>30</v>
      </c>
      <c r="C32" s="3">
        <v>1</v>
      </c>
      <c r="D32" s="3">
        <v>19995.737000000001</v>
      </c>
      <c r="E32" s="3">
        <v>1.351</v>
      </c>
      <c r="F32" s="3">
        <v>146</v>
      </c>
    </row>
    <row r="33" spans="1:6" x14ac:dyDescent="0.25">
      <c r="A33" s="3" t="s">
        <v>1</v>
      </c>
      <c r="B33" s="3">
        <v>30</v>
      </c>
      <c r="C33" s="3">
        <v>1</v>
      </c>
      <c r="D33" s="3">
        <v>20084.330000000002</v>
      </c>
      <c r="E33" s="3">
        <v>1.3460000000000001</v>
      </c>
      <c r="F33" s="3">
        <v>154</v>
      </c>
    </row>
    <row r="34" spans="1:6" x14ac:dyDescent="0.25">
      <c r="A34" s="3" t="s">
        <v>1</v>
      </c>
      <c r="B34" s="3">
        <v>30</v>
      </c>
      <c r="C34" s="3">
        <v>1</v>
      </c>
      <c r="D34" s="3">
        <v>20130.544999999998</v>
      </c>
      <c r="E34" s="3">
        <v>1.351</v>
      </c>
      <c r="F34" s="3">
        <v>151</v>
      </c>
    </row>
    <row r="35" spans="1:6" x14ac:dyDescent="0.25">
      <c r="A35" s="3" t="s">
        <v>1</v>
      </c>
      <c r="B35" s="3">
        <v>30</v>
      </c>
      <c r="C35" s="3">
        <v>1</v>
      </c>
      <c r="D35" s="3">
        <v>20090.791000000001</v>
      </c>
      <c r="E35" s="3">
        <v>1.3520000000000001</v>
      </c>
      <c r="F35" s="3">
        <v>151</v>
      </c>
    </row>
    <row r="36" spans="1:6" x14ac:dyDescent="0.25">
      <c r="A36" s="3" t="s">
        <v>1</v>
      </c>
      <c r="B36" s="3">
        <v>30</v>
      </c>
      <c r="C36" s="3">
        <v>1</v>
      </c>
      <c r="D36" s="3">
        <v>19982.423999999999</v>
      </c>
      <c r="E36" s="3">
        <v>1.3480000000000001</v>
      </c>
      <c r="F36" s="3">
        <v>138</v>
      </c>
    </row>
    <row r="37" spans="1:6" x14ac:dyDescent="0.25">
      <c r="A37" s="3" t="s">
        <v>1</v>
      </c>
      <c r="B37" s="3">
        <v>30</v>
      </c>
      <c r="C37" s="3">
        <v>1</v>
      </c>
      <c r="D37" s="3">
        <v>20011.455999999998</v>
      </c>
      <c r="E37" s="3">
        <v>1.349</v>
      </c>
      <c r="F37" s="3">
        <v>156</v>
      </c>
    </row>
    <row r="38" spans="1:6" x14ac:dyDescent="0.25">
      <c r="A38" s="3" t="s">
        <v>1</v>
      </c>
      <c r="B38" s="3">
        <v>30</v>
      </c>
      <c r="C38" s="3">
        <v>1</v>
      </c>
      <c r="D38" s="3">
        <v>20000.876</v>
      </c>
      <c r="E38" s="3">
        <v>1.349</v>
      </c>
      <c r="F38" s="3">
        <v>148</v>
      </c>
    </row>
    <row r="39" spans="1:6" x14ac:dyDescent="0.25">
      <c r="A39" s="3" t="s">
        <v>1</v>
      </c>
      <c r="B39" s="3">
        <v>30</v>
      </c>
      <c r="C39" s="3">
        <v>1</v>
      </c>
      <c r="D39" s="3">
        <v>20057.411</v>
      </c>
      <c r="E39" s="3">
        <v>1.3520000000000001</v>
      </c>
      <c r="F39" s="3">
        <v>138</v>
      </c>
    </row>
    <row r="40" spans="1:6" x14ac:dyDescent="0.25">
      <c r="A40" s="3" t="s">
        <v>1</v>
      </c>
      <c r="B40" s="3">
        <v>30</v>
      </c>
      <c r="C40" s="3">
        <v>1</v>
      </c>
      <c r="D40" s="3">
        <v>19998.923999999999</v>
      </c>
      <c r="E40" s="3">
        <v>1.3520000000000001</v>
      </c>
      <c r="F40" s="3">
        <v>160</v>
      </c>
    </row>
    <row r="41" spans="1:6" x14ac:dyDescent="0.25">
      <c r="A41" s="3" t="s">
        <v>1</v>
      </c>
      <c r="B41" s="3">
        <v>50</v>
      </c>
      <c r="C41" s="3">
        <v>1</v>
      </c>
      <c r="D41" s="3">
        <v>35453.720999999998</v>
      </c>
      <c r="E41" s="3">
        <v>3.0339999999999998</v>
      </c>
      <c r="F41" s="3">
        <v>126</v>
      </c>
    </row>
    <row r="42" spans="1:6" x14ac:dyDescent="0.25">
      <c r="A42" s="3" t="s">
        <v>1</v>
      </c>
      <c r="B42" s="3">
        <v>50</v>
      </c>
      <c r="C42" s="3">
        <v>1</v>
      </c>
      <c r="D42" s="3">
        <v>35382.879999999997</v>
      </c>
      <c r="E42" s="3">
        <v>3.0390000000000001</v>
      </c>
      <c r="F42" s="3">
        <v>126</v>
      </c>
    </row>
    <row r="43" spans="1:6" x14ac:dyDescent="0.25">
      <c r="A43" s="3" t="s">
        <v>1</v>
      </c>
      <c r="B43" s="3">
        <v>50</v>
      </c>
      <c r="C43" s="3">
        <v>1</v>
      </c>
      <c r="D43" s="3">
        <v>35339.449999999997</v>
      </c>
      <c r="E43" s="3">
        <v>3.04</v>
      </c>
      <c r="F43" s="3">
        <v>128</v>
      </c>
    </row>
    <row r="44" spans="1:6" x14ac:dyDescent="0.25">
      <c r="A44" s="3" t="s">
        <v>1</v>
      </c>
      <c r="B44" s="3">
        <v>50</v>
      </c>
      <c r="C44" s="3">
        <v>1</v>
      </c>
      <c r="D44" s="3">
        <v>35378.311000000002</v>
      </c>
      <c r="E44" s="3">
        <v>3.0369999999999999</v>
      </c>
      <c r="F44" s="3">
        <v>124</v>
      </c>
    </row>
    <row r="45" spans="1:6" x14ac:dyDescent="0.25">
      <c r="A45" s="3" t="s">
        <v>1</v>
      </c>
      <c r="B45" s="3">
        <v>50</v>
      </c>
      <c r="C45" s="3">
        <v>1</v>
      </c>
      <c r="D45" s="3">
        <v>35422.131000000001</v>
      </c>
      <c r="E45" s="3">
        <v>3.0489999999999999</v>
      </c>
      <c r="F45" s="3">
        <v>129</v>
      </c>
    </row>
    <row r="46" spans="1:6" x14ac:dyDescent="0.25">
      <c r="A46" s="3" t="s">
        <v>1</v>
      </c>
      <c r="B46" s="3">
        <v>50</v>
      </c>
      <c r="C46" s="3">
        <v>1</v>
      </c>
      <c r="D46" s="3">
        <v>35459.123</v>
      </c>
      <c r="E46" s="3">
        <v>3.0329999999999999</v>
      </c>
      <c r="F46" s="3">
        <v>127</v>
      </c>
    </row>
    <row r="47" spans="1:6" x14ac:dyDescent="0.25">
      <c r="A47" s="3" t="s">
        <v>1</v>
      </c>
      <c r="B47" s="3">
        <v>50</v>
      </c>
      <c r="C47" s="3">
        <v>1</v>
      </c>
      <c r="D47" s="3">
        <v>35447.697</v>
      </c>
      <c r="E47" s="3">
        <v>3.0390000000000001</v>
      </c>
      <c r="F47" s="3">
        <v>126</v>
      </c>
    </row>
    <row r="48" spans="1:6" x14ac:dyDescent="0.25">
      <c r="A48" s="3" t="s">
        <v>1</v>
      </c>
      <c r="B48" s="3">
        <v>50</v>
      </c>
      <c r="C48" s="3">
        <v>1</v>
      </c>
      <c r="D48" s="3">
        <v>35437.411999999997</v>
      </c>
      <c r="E48" s="3">
        <v>3.0369999999999999</v>
      </c>
      <c r="F48" s="3">
        <v>128</v>
      </c>
    </row>
    <row r="49" spans="1:6" x14ac:dyDescent="0.25">
      <c r="A49" s="3" t="s">
        <v>1</v>
      </c>
      <c r="B49" s="3">
        <v>50</v>
      </c>
      <c r="C49" s="3">
        <v>1</v>
      </c>
      <c r="D49" s="3">
        <v>35431.368999999999</v>
      </c>
      <c r="E49" s="3">
        <v>3.0369999999999999</v>
      </c>
      <c r="F49" s="3">
        <v>128</v>
      </c>
    </row>
    <row r="50" spans="1:6" x14ac:dyDescent="0.25">
      <c r="A50" s="3" t="s">
        <v>1</v>
      </c>
      <c r="B50" s="3">
        <v>50</v>
      </c>
      <c r="C50" s="3">
        <v>1</v>
      </c>
      <c r="D50" s="3">
        <v>35466.103000000003</v>
      </c>
      <c r="E50" s="3">
        <v>3.04</v>
      </c>
      <c r="F50" s="3">
        <v>129</v>
      </c>
    </row>
    <row r="51" spans="1:6" x14ac:dyDescent="0.25">
      <c r="A51" s="3" t="s">
        <v>1</v>
      </c>
      <c r="B51" s="3">
        <v>100</v>
      </c>
      <c r="C51" s="3">
        <v>1</v>
      </c>
      <c r="D51" s="3">
        <v>63084.642</v>
      </c>
      <c r="E51" s="3">
        <v>11.677</v>
      </c>
      <c r="F51" s="3">
        <v>116</v>
      </c>
    </row>
    <row r="52" spans="1:6" x14ac:dyDescent="0.25">
      <c r="A52" s="3" t="s">
        <v>1</v>
      </c>
      <c r="B52" s="3">
        <v>100</v>
      </c>
      <c r="C52" s="3">
        <v>1</v>
      </c>
      <c r="D52" s="3">
        <v>63236.887000000002</v>
      </c>
      <c r="E52" s="3">
        <v>11.68</v>
      </c>
      <c r="F52" s="3">
        <v>114</v>
      </c>
    </row>
    <row r="53" spans="1:6" x14ac:dyDescent="0.25">
      <c r="A53" s="3" t="s">
        <v>1</v>
      </c>
      <c r="B53" s="3">
        <v>100</v>
      </c>
      <c r="C53" s="3">
        <v>1</v>
      </c>
      <c r="D53" s="3">
        <v>63167.938999999998</v>
      </c>
      <c r="E53" s="3">
        <v>11.733000000000001</v>
      </c>
      <c r="F53" s="3">
        <v>115</v>
      </c>
    </row>
    <row r="54" spans="1:6" x14ac:dyDescent="0.25">
      <c r="A54" s="3" t="s">
        <v>1</v>
      </c>
      <c r="B54" s="3">
        <v>100</v>
      </c>
      <c r="C54" s="3">
        <v>1</v>
      </c>
      <c r="D54" s="3">
        <v>63139.459000000003</v>
      </c>
      <c r="E54" s="3">
        <v>11.706</v>
      </c>
      <c r="F54" s="3">
        <v>113</v>
      </c>
    </row>
    <row r="55" spans="1:6" x14ac:dyDescent="0.25">
      <c r="A55" s="3" t="s">
        <v>1</v>
      </c>
      <c r="B55" s="3">
        <v>100</v>
      </c>
      <c r="C55" s="3">
        <v>1</v>
      </c>
      <c r="D55" s="3">
        <v>63100.483999999997</v>
      </c>
      <c r="E55" s="3">
        <v>11.675000000000001</v>
      </c>
      <c r="F55" s="3">
        <v>114</v>
      </c>
    </row>
    <row r="56" spans="1:6" x14ac:dyDescent="0.25">
      <c r="A56" s="3" t="s">
        <v>1</v>
      </c>
      <c r="B56" s="3">
        <v>100</v>
      </c>
      <c r="C56" s="3">
        <v>1</v>
      </c>
      <c r="D56" s="3">
        <v>63094.925999999999</v>
      </c>
      <c r="E56" s="3">
        <v>11.691000000000001</v>
      </c>
      <c r="F56" s="3">
        <v>114</v>
      </c>
    </row>
    <row r="57" spans="1:6" x14ac:dyDescent="0.25">
      <c r="A57" s="3" t="s">
        <v>1</v>
      </c>
      <c r="B57" s="3">
        <v>100</v>
      </c>
      <c r="C57" s="3">
        <v>1</v>
      </c>
      <c r="D57" s="3">
        <v>63066.864000000001</v>
      </c>
      <c r="E57" s="3">
        <v>11.738</v>
      </c>
      <c r="F57" s="3">
        <v>119</v>
      </c>
    </row>
    <row r="58" spans="1:6" x14ac:dyDescent="0.25">
      <c r="A58" s="3" t="s">
        <v>1</v>
      </c>
      <c r="B58" s="3">
        <v>100</v>
      </c>
      <c r="C58" s="3">
        <v>1</v>
      </c>
      <c r="D58" s="3">
        <v>63240.81</v>
      </c>
      <c r="E58" s="3">
        <v>11.734999999999999</v>
      </c>
      <c r="F58" s="3">
        <v>115</v>
      </c>
    </row>
    <row r="59" spans="1:6" x14ac:dyDescent="0.25">
      <c r="A59" s="3" t="s">
        <v>1</v>
      </c>
      <c r="B59" s="3">
        <v>100</v>
      </c>
      <c r="C59" s="3">
        <v>1</v>
      </c>
      <c r="D59" s="3">
        <v>63220.055</v>
      </c>
      <c r="E59" s="3">
        <v>11.682</v>
      </c>
      <c r="F59" s="3">
        <v>114</v>
      </c>
    </row>
    <row r="60" spans="1:6" x14ac:dyDescent="0.25">
      <c r="A60" s="3" t="s">
        <v>1</v>
      </c>
      <c r="B60" s="3">
        <v>100</v>
      </c>
      <c r="C60" s="3">
        <v>1</v>
      </c>
      <c r="D60" s="3">
        <v>63189.921000000002</v>
      </c>
      <c r="E60" s="3">
        <v>11.734999999999999</v>
      </c>
      <c r="F60" s="3">
        <v>116</v>
      </c>
    </row>
    <row r="61" spans="1:6" x14ac:dyDescent="0.25">
      <c r="A61" s="3" t="s">
        <v>0</v>
      </c>
      <c r="B61" s="3">
        <v>25</v>
      </c>
      <c r="C61" s="3">
        <v>1</v>
      </c>
      <c r="D61" s="3">
        <v>723.63099999999997</v>
      </c>
      <c r="E61" s="3">
        <v>0.90100000000000002</v>
      </c>
      <c r="F61" s="3">
        <v>129</v>
      </c>
    </row>
    <row r="62" spans="1:6" x14ac:dyDescent="0.25">
      <c r="A62" s="3" t="s">
        <v>0</v>
      </c>
      <c r="B62" s="3">
        <v>25</v>
      </c>
      <c r="C62" s="3">
        <v>1</v>
      </c>
      <c r="D62" s="3">
        <v>723.89400000000001</v>
      </c>
      <c r="E62" s="3">
        <v>0.90200000000000002</v>
      </c>
      <c r="F62" s="3">
        <v>143</v>
      </c>
    </row>
    <row r="63" spans="1:6" x14ac:dyDescent="0.25">
      <c r="A63" s="3" t="s">
        <v>0</v>
      </c>
      <c r="B63" s="3">
        <v>25</v>
      </c>
      <c r="C63" s="3">
        <v>1</v>
      </c>
      <c r="D63" s="3">
        <v>723.577</v>
      </c>
      <c r="E63" s="3">
        <v>0.90200000000000002</v>
      </c>
      <c r="F63" s="3">
        <v>125</v>
      </c>
    </row>
    <row r="64" spans="1:6" x14ac:dyDescent="0.25">
      <c r="A64" s="3" t="s">
        <v>0</v>
      </c>
      <c r="B64" s="3">
        <v>25</v>
      </c>
      <c r="C64" s="3">
        <v>1</v>
      </c>
      <c r="D64" s="3">
        <v>723.51</v>
      </c>
      <c r="E64" s="3">
        <v>0.90400000000000003</v>
      </c>
      <c r="F64" s="3">
        <v>143</v>
      </c>
    </row>
    <row r="65" spans="1:6" x14ac:dyDescent="0.25">
      <c r="A65" s="3" t="s">
        <v>0</v>
      </c>
      <c r="B65" s="3">
        <v>25</v>
      </c>
      <c r="C65" s="3">
        <v>1</v>
      </c>
      <c r="D65" s="3">
        <v>723.34500000000003</v>
      </c>
      <c r="E65" s="3">
        <v>0.90500000000000003</v>
      </c>
      <c r="F65" s="3">
        <v>142</v>
      </c>
    </row>
    <row r="66" spans="1:6" x14ac:dyDescent="0.25">
      <c r="A66" s="3" t="s">
        <v>0</v>
      </c>
      <c r="B66" s="3">
        <v>25</v>
      </c>
      <c r="C66" s="3">
        <v>1</v>
      </c>
      <c r="D66" s="3">
        <v>723.38099999999997</v>
      </c>
      <c r="E66" s="3">
        <v>0.90500000000000003</v>
      </c>
      <c r="F66" s="3">
        <v>152</v>
      </c>
    </row>
    <row r="67" spans="1:6" x14ac:dyDescent="0.25">
      <c r="A67" s="3" t="s">
        <v>0</v>
      </c>
      <c r="B67" s="3">
        <v>25</v>
      </c>
      <c r="C67" s="3">
        <v>1</v>
      </c>
      <c r="D67" s="3">
        <v>723.22900000000004</v>
      </c>
      <c r="E67" s="3">
        <v>0.90200000000000002</v>
      </c>
      <c r="F67" s="3">
        <v>134</v>
      </c>
    </row>
    <row r="68" spans="1:6" x14ac:dyDescent="0.25">
      <c r="A68" s="3" t="s">
        <v>0</v>
      </c>
      <c r="B68" s="3">
        <v>25</v>
      </c>
      <c r="C68" s="3">
        <v>1</v>
      </c>
      <c r="D68" s="3">
        <v>723.14</v>
      </c>
      <c r="E68" s="3">
        <v>0.90400000000000003</v>
      </c>
      <c r="F68" s="3">
        <v>149</v>
      </c>
    </row>
    <row r="69" spans="1:6" x14ac:dyDescent="0.25">
      <c r="A69" s="3" t="s">
        <v>0</v>
      </c>
      <c r="B69" s="3">
        <v>25</v>
      </c>
      <c r="C69" s="3">
        <v>1</v>
      </c>
      <c r="D69" s="3">
        <v>723.12900000000002</v>
      </c>
      <c r="E69" s="3">
        <v>0.90500000000000003</v>
      </c>
      <c r="F69" s="3">
        <v>137</v>
      </c>
    </row>
    <row r="70" spans="1:6" x14ac:dyDescent="0.25">
      <c r="A70" s="3" t="s">
        <v>0</v>
      </c>
      <c r="B70" s="3">
        <v>25</v>
      </c>
      <c r="C70" s="3">
        <v>1</v>
      </c>
      <c r="D70" s="3">
        <v>723.10299999999995</v>
      </c>
      <c r="E70" s="3">
        <v>0.90600000000000003</v>
      </c>
      <c r="F70" s="3">
        <v>146</v>
      </c>
    </row>
    <row r="71" spans="1:6" x14ac:dyDescent="0.25">
      <c r="A71" s="3" t="s">
        <v>0</v>
      </c>
      <c r="B71" s="3">
        <v>50</v>
      </c>
      <c r="C71" s="3">
        <v>1</v>
      </c>
      <c r="D71" s="3">
        <v>1572.1369999999999</v>
      </c>
      <c r="E71" s="3">
        <v>3.3719999999999999</v>
      </c>
      <c r="F71" s="3">
        <v>144</v>
      </c>
    </row>
    <row r="72" spans="1:6" x14ac:dyDescent="0.25">
      <c r="A72" s="3" t="s">
        <v>0</v>
      </c>
      <c r="B72" s="3">
        <v>50</v>
      </c>
      <c r="C72" s="3">
        <v>1</v>
      </c>
      <c r="D72" s="3">
        <v>1573.2550000000001</v>
      </c>
      <c r="E72" s="3">
        <v>3.3839999999999999</v>
      </c>
      <c r="F72" s="3">
        <v>146</v>
      </c>
    </row>
    <row r="73" spans="1:6" x14ac:dyDescent="0.25">
      <c r="A73" s="3" t="s">
        <v>0</v>
      </c>
      <c r="B73" s="3">
        <v>50</v>
      </c>
      <c r="C73" s="3">
        <v>1</v>
      </c>
      <c r="D73" s="3">
        <v>1572.846</v>
      </c>
      <c r="E73" s="3">
        <v>3.38</v>
      </c>
      <c r="F73" s="3">
        <v>147</v>
      </c>
    </row>
    <row r="74" spans="1:6" x14ac:dyDescent="0.25">
      <c r="A74" s="3" t="s">
        <v>0</v>
      </c>
      <c r="B74" s="3">
        <v>50</v>
      </c>
      <c r="C74" s="3">
        <v>1</v>
      </c>
      <c r="D74" s="3">
        <v>1572.5219999999999</v>
      </c>
      <c r="E74" s="3">
        <v>3.3809999999999998</v>
      </c>
      <c r="F74" s="3">
        <v>142</v>
      </c>
    </row>
    <row r="75" spans="1:6" x14ac:dyDescent="0.25">
      <c r="A75" s="3" t="s">
        <v>0</v>
      </c>
      <c r="B75" s="3">
        <v>50</v>
      </c>
      <c r="C75" s="3">
        <v>1</v>
      </c>
      <c r="D75" s="3">
        <v>1571.403</v>
      </c>
      <c r="E75" s="3">
        <v>3.3679999999999999</v>
      </c>
      <c r="F75" s="3">
        <v>150</v>
      </c>
    </row>
    <row r="76" spans="1:6" x14ac:dyDescent="0.25">
      <c r="A76" s="3" t="s">
        <v>0</v>
      </c>
      <c r="B76" s="3">
        <v>50</v>
      </c>
      <c r="C76" s="3">
        <v>1</v>
      </c>
      <c r="D76" s="3">
        <v>1573.2270000000001</v>
      </c>
      <c r="E76" s="3">
        <v>3.3780000000000001</v>
      </c>
      <c r="F76" s="3">
        <v>145</v>
      </c>
    </row>
    <row r="77" spans="1:6" x14ac:dyDescent="0.25">
      <c r="A77" s="3" t="s">
        <v>0</v>
      </c>
      <c r="B77" s="3">
        <v>50</v>
      </c>
      <c r="C77" s="3">
        <v>1</v>
      </c>
      <c r="D77" s="3">
        <v>1571.8820000000001</v>
      </c>
      <c r="E77" s="3">
        <v>3.375</v>
      </c>
      <c r="F77" s="3">
        <v>146</v>
      </c>
    </row>
    <row r="78" spans="1:6" x14ac:dyDescent="0.25">
      <c r="A78" s="3" t="s">
        <v>0</v>
      </c>
      <c r="B78" s="3">
        <v>50</v>
      </c>
      <c r="C78" s="3">
        <v>1</v>
      </c>
      <c r="D78" s="3">
        <v>1572.9570000000001</v>
      </c>
      <c r="E78" s="3">
        <v>3.37</v>
      </c>
      <c r="F78" s="3">
        <v>144</v>
      </c>
    </row>
    <row r="79" spans="1:6" x14ac:dyDescent="0.25">
      <c r="A79" s="3" t="s">
        <v>0</v>
      </c>
      <c r="B79" s="3">
        <v>50</v>
      </c>
      <c r="C79" s="3">
        <v>1</v>
      </c>
      <c r="D79" s="3">
        <v>1572.9860000000001</v>
      </c>
      <c r="E79" s="3">
        <v>3.3780000000000001</v>
      </c>
      <c r="F79" s="3">
        <v>146</v>
      </c>
    </row>
    <row r="80" spans="1:6" x14ac:dyDescent="0.25">
      <c r="A80" s="3" t="s">
        <v>0</v>
      </c>
      <c r="B80" s="3">
        <v>50</v>
      </c>
      <c r="C80" s="3">
        <v>1</v>
      </c>
      <c r="D80" s="3">
        <v>1571.9949999999999</v>
      </c>
      <c r="E80" s="3">
        <v>3.375</v>
      </c>
      <c r="F80" s="3">
        <v>142</v>
      </c>
    </row>
    <row r="81" spans="1:6" x14ac:dyDescent="0.25">
      <c r="A81" s="3" t="s">
        <v>0</v>
      </c>
      <c r="B81" s="3">
        <v>100</v>
      </c>
      <c r="C81" s="3">
        <v>1</v>
      </c>
      <c r="D81" s="3">
        <v>3299.0740000000001</v>
      </c>
      <c r="E81" s="3">
        <v>11.324999999999999</v>
      </c>
      <c r="F81" s="3">
        <v>114</v>
      </c>
    </row>
    <row r="82" spans="1:6" x14ac:dyDescent="0.25">
      <c r="A82" s="3" t="s">
        <v>0</v>
      </c>
      <c r="B82" s="3">
        <v>100</v>
      </c>
      <c r="C82" s="3">
        <v>1</v>
      </c>
      <c r="D82" s="3">
        <v>3295.3240000000001</v>
      </c>
      <c r="E82" s="3">
        <v>11.329000000000001</v>
      </c>
      <c r="F82" s="3">
        <v>114</v>
      </c>
    </row>
    <row r="83" spans="1:6" x14ac:dyDescent="0.25">
      <c r="A83" s="3" t="s">
        <v>0</v>
      </c>
      <c r="B83" s="3">
        <v>100</v>
      </c>
      <c r="C83" s="3">
        <v>1</v>
      </c>
      <c r="D83" s="3">
        <v>3293.1219999999998</v>
      </c>
      <c r="E83" s="3">
        <v>11.326000000000001</v>
      </c>
      <c r="F83" s="3">
        <v>114</v>
      </c>
    </row>
    <row r="84" spans="1:6" x14ac:dyDescent="0.25">
      <c r="A84" s="3" t="s">
        <v>0</v>
      </c>
      <c r="B84" s="3">
        <v>100</v>
      </c>
      <c r="C84" s="3">
        <v>1</v>
      </c>
      <c r="D84" s="3">
        <v>3293.4250000000002</v>
      </c>
      <c r="E84" s="3">
        <v>11.324999999999999</v>
      </c>
      <c r="F84" s="3">
        <v>116</v>
      </c>
    </row>
    <row r="85" spans="1:6" x14ac:dyDescent="0.25">
      <c r="A85" s="3" t="s">
        <v>0</v>
      </c>
      <c r="B85" s="3">
        <v>100</v>
      </c>
      <c r="C85" s="3">
        <v>1</v>
      </c>
      <c r="D85" s="3">
        <v>3293.9929999999999</v>
      </c>
      <c r="E85" s="3">
        <v>11.317</v>
      </c>
      <c r="F85" s="3">
        <v>113</v>
      </c>
    </row>
    <row r="86" spans="1:6" x14ac:dyDescent="0.25">
      <c r="A86" s="3" t="s">
        <v>0</v>
      </c>
      <c r="B86" s="3">
        <v>100</v>
      </c>
      <c r="C86" s="3">
        <v>1</v>
      </c>
      <c r="D86" s="3">
        <v>3292.0949999999998</v>
      </c>
      <c r="E86" s="3">
        <v>11.332000000000001</v>
      </c>
      <c r="F86" s="3">
        <v>115</v>
      </c>
    </row>
    <row r="87" spans="1:6" x14ac:dyDescent="0.25">
      <c r="A87" s="3" t="s">
        <v>0</v>
      </c>
      <c r="B87" s="3">
        <v>100</v>
      </c>
      <c r="C87" s="3">
        <v>1</v>
      </c>
      <c r="D87" s="3">
        <v>3292.4409999999998</v>
      </c>
      <c r="E87" s="3">
        <v>11.348000000000001</v>
      </c>
      <c r="F87" s="3">
        <v>116</v>
      </c>
    </row>
    <row r="88" spans="1:6" x14ac:dyDescent="0.25">
      <c r="A88" s="3" t="s">
        <v>0</v>
      </c>
      <c r="B88" s="3">
        <v>100</v>
      </c>
      <c r="C88" s="3">
        <v>1</v>
      </c>
      <c r="D88" s="3">
        <v>3296.15</v>
      </c>
      <c r="E88" s="3">
        <v>11.377000000000001</v>
      </c>
      <c r="F88" s="3">
        <v>115</v>
      </c>
    </row>
    <row r="89" spans="1:6" x14ac:dyDescent="0.25">
      <c r="A89" s="3" t="s">
        <v>0</v>
      </c>
      <c r="B89" s="3">
        <v>100</v>
      </c>
      <c r="C89" s="3">
        <v>1</v>
      </c>
      <c r="D89" s="3">
        <v>3291.9029999999998</v>
      </c>
      <c r="E89" s="3">
        <v>11.35</v>
      </c>
      <c r="F89" s="3">
        <v>115</v>
      </c>
    </row>
    <row r="90" spans="1:6" x14ac:dyDescent="0.25">
      <c r="A90" s="3" t="s">
        <v>0</v>
      </c>
      <c r="B90" s="3">
        <v>100</v>
      </c>
      <c r="C90" s="3">
        <v>1</v>
      </c>
      <c r="D90" s="3">
        <v>3292.6579999999999</v>
      </c>
      <c r="E90" s="3">
        <v>11.336</v>
      </c>
      <c r="F90" s="3">
        <v>115</v>
      </c>
    </row>
  </sheetData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0"/>
  <sheetViews>
    <sheetView zoomScale="85" zoomScaleNormal="85" workbookViewId="0">
      <selection sqref="A1:F91"/>
    </sheetView>
  </sheetViews>
  <sheetFormatPr defaultColWidth="9" defaultRowHeight="15" x14ac:dyDescent="0.25"/>
  <cols>
    <col min="1" max="1" width="9.875" style="3" customWidth="1"/>
    <col min="2" max="2" width="3.875" style="3" customWidth="1"/>
    <col min="3" max="3" width="2.625" style="3" bestFit="1" customWidth="1"/>
    <col min="4" max="4" width="11.125" style="3" customWidth="1"/>
    <col min="5" max="5" width="7" style="3" bestFit="1" customWidth="1"/>
    <col min="6" max="6" width="4.375" style="3" bestFit="1" customWidth="1"/>
    <col min="7" max="7" width="2.125" style="3" customWidth="1"/>
    <col min="8" max="8" width="10" style="3" customWidth="1"/>
    <col min="9" max="9" width="4.375" style="3" bestFit="1" customWidth="1"/>
    <col min="10" max="10" width="3.125" style="3" bestFit="1" customWidth="1"/>
    <col min="11" max="11" width="2.5" style="3" customWidth="1"/>
    <col min="12" max="21" width="9" style="3"/>
    <col min="22" max="22" width="2.75" style="3" customWidth="1"/>
    <col min="23" max="23" width="9" style="3"/>
    <col min="24" max="24" width="2.75" style="3" customWidth="1"/>
    <col min="25" max="25" width="9" style="3"/>
    <col min="26" max="27" width="2.125" style="3" customWidth="1"/>
    <col min="28" max="37" width="9" style="3"/>
    <col min="38" max="38" width="5.625" style="3" customWidth="1"/>
    <col min="39" max="16384" width="9" style="3"/>
  </cols>
  <sheetData>
    <row r="1" spans="1:39" x14ac:dyDescent="0.25">
      <c r="A1" s="3" t="s">
        <v>2</v>
      </c>
      <c r="B1" s="3">
        <v>24</v>
      </c>
      <c r="C1" s="3">
        <v>1</v>
      </c>
      <c r="D1" s="3">
        <v>56022.678999999996</v>
      </c>
      <c r="E1" s="3">
        <v>1.238</v>
      </c>
      <c r="F1" s="3">
        <v>167</v>
      </c>
      <c r="H1" s="5" t="s">
        <v>13</v>
      </c>
      <c r="I1" s="5" t="s">
        <v>14</v>
      </c>
      <c r="J1" s="5" t="s">
        <v>10</v>
      </c>
      <c r="K1" s="2"/>
      <c r="L1" s="2">
        <v>1</v>
      </c>
      <c r="M1" s="2">
        <v>2</v>
      </c>
      <c r="N1" s="2">
        <v>3</v>
      </c>
      <c r="O1" s="2">
        <v>4</v>
      </c>
      <c r="P1" s="2">
        <v>5</v>
      </c>
      <c r="Q1" s="2">
        <v>6</v>
      </c>
      <c r="R1" s="2">
        <v>7</v>
      </c>
      <c r="S1" s="2">
        <v>8</v>
      </c>
      <c r="T1" s="2">
        <v>9</v>
      </c>
      <c r="U1" s="2">
        <v>10</v>
      </c>
      <c r="W1" s="2" t="s">
        <v>11</v>
      </c>
      <c r="X1" s="2"/>
      <c r="Y1" s="2" t="s">
        <v>9</v>
      </c>
      <c r="Z1" s="2"/>
      <c r="AM1" s="5" t="s">
        <v>12</v>
      </c>
    </row>
    <row r="2" spans="1:39" x14ac:dyDescent="0.25">
      <c r="A2" s="3" t="s">
        <v>2</v>
      </c>
      <c r="B2" s="3">
        <v>24</v>
      </c>
      <c r="C2" s="3">
        <v>1</v>
      </c>
      <c r="D2" s="3">
        <v>55996.802000000003</v>
      </c>
      <c r="E2" s="3">
        <v>1.2370000000000001</v>
      </c>
      <c r="F2" s="3">
        <v>198</v>
      </c>
      <c r="H2" s="3" t="s">
        <v>2</v>
      </c>
      <c r="I2" s="3">
        <v>24</v>
      </c>
      <c r="J2" s="3">
        <v>1</v>
      </c>
      <c r="L2" s="3">
        <f ca="1">INDIRECT("D"&amp;1+(ROW(D1)-1)*10+COLUMN(A1)-1)</f>
        <v>56022.678999999996</v>
      </c>
      <c r="M2" s="3">
        <f t="shared" ref="M2:U10" ca="1" si="0">INDIRECT("D"&amp;1+(ROW(E1)-1)*10+COLUMN(B1)-1)</f>
        <v>55996.802000000003</v>
      </c>
      <c r="N2" s="3">
        <f t="shared" ca="1" si="0"/>
        <v>55975.339</v>
      </c>
      <c r="O2" s="3">
        <f t="shared" ca="1" si="0"/>
        <v>56000.858</v>
      </c>
      <c r="P2" s="3">
        <f t="shared" ca="1" si="0"/>
        <v>55968.555999999997</v>
      </c>
      <c r="Q2" s="3">
        <f t="shared" ca="1" si="0"/>
        <v>55979.362999999998</v>
      </c>
      <c r="R2" s="3">
        <f t="shared" ca="1" si="0"/>
        <v>55999.243000000002</v>
      </c>
      <c r="S2" s="3">
        <f t="shared" ca="1" si="0"/>
        <v>55988.184999999998</v>
      </c>
      <c r="T2" s="3">
        <f t="shared" ca="1" si="0"/>
        <v>55973.137000000002</v>
      </c>
      <c r="U2" s="3">
        <f t="shared" ca="1" si="0"/>
        <v>56020.584000000003</v>
      </c>
      <c r="W2" s="3">
        <f ca="1">AVERAGE(L2:U2)</f>
        <v>55992.474600000001</v>
      </c>
      <c r="Y2" s="3">
        <f ca="1">Total!E2</f>
        <v>55722.476000000002</v>
      </c>
      <c r="AB2" s="3">
        <f t="shared" ref="AB2:AK10" ca="1" si="1">(L2-$Y2)/$Y2</f>
        <v>5.3874669890834363E-3</v>
      </c>
      <c r="AC2" s="3">
        <f t="shared" ca="1" si="1"/>
        <v>4.9230762825399378E-3</v>
      </c>
      <c r="AD2" s="3">
        <f t="shared" ca="1" si="1"/>
        <v>4.5378995721582355E-3</v>
      </c>
      <c r="AE2" s="3">
        <f t="shared" ca="1" si="1"/>
        <v>4.9958655821395618E-3</v>
      </c>
      <c r="AF2" s="3">
        <f t="shared" ca="1" si="1"/>
        <v>4.4161713129903715E-3</v>
      </c>
      <c r="AG2" s="3">
        <f t="shared" ca="1" si="1"/>
        <v>4.6101145972048179E-3</v>
      </c>
      <c r="AH2" s="3">
        <f t="shared" ca="1" si="1"/>
        <v>4.9668826632901205E-3</v>
      </c>
      <c r="AI2" s="3">
        <f t="shared" ca="1" si="1"/>
        <v>4.7684349130500819E-3</v>
      </c>
      <c r="AJ2" s="3">
        <f t="shared" ca="1" si="1"/>
        <v>4.4983823044762051E-3</v>
      </c>
      <c r="AK2" s="3">
        <f t="shared" ca="1" si="1"/>
        <v>5.349869951938248E-3</v>
      </c>
      <c r="AM2" s="3">
        <f ca="1">SUM(AB2:AK2)</f>
        <v>4.8454164168871022E-2</v>
      </c>
    </row>
    <row r="3" spans="1:39" x14ac:dyDescent="0.25">
      <c r="A3" s="3" t="s">
        <v>2</v>
      </c>
      <c r="B3" s="3">
        <v>24</v>
      </c>
      <c r="C3" s="3">
        <v>1</v>
      </c>
      <c r="D3" s="3">
        <v>55975.339</v>
      </c>
      <c r="E3" s="3">
        <v>1.2390000000000001</v>
      </c>
      <c r="F3" s="3">
        <v>209</v>
      </c>
      <c r="H3" s="3" t="s">
        <v>2</v>
      </c>
      <c r="I3" s="3">
        <v>47</v>
      </c>
      <c r="J3" s="3">
        <v>1</v>
      </c>
      <c r="L3" s="3">
        <f t="shared" ref="L3:L10" ca="1" si="2">INDIRECT("D"&amp;1+(ROW(D2)-1)*10+COLUMN(A2)-1)</f>
        <v>126410.959</v>
      </c>
      <c r="M3" s="3">
        <f t="shared" ca="1" si="0"/>
        <v>126236.734</v>
      </c>
      <c r="N3" s="3">
        <f t="shared" ca="1" si="0"/>
        <v>126335.476</v>
      </c>
      <c r="O3" s="3">
        <f t="shared" ca="1" si="0"/>
        <v>126334.447</v>
      </c>
      <c r="P3" s="3">
        <f t="shared" ca="1" si="0"/>
        <v>126215.171</v>
      </c>
      <c r="Q3" s="3">
        <f t="shared" ca="1" si="0"/>
        <v>126515.52800000001</v>
      </c>
      <c r="R3" s="3">
        <f t="shared" ca="1" si="0"/>
        <v>126261.503</v>
      </c>
      <c r="S3" s="3">
        <f t="shared" ca="1" si="0"/>
        <v>126316.541</v>
      </c>
      <c r="T3" s="3">
        <f t="shared" ca="1" si="0"/>
        <v>126279.683</v>
      </c>
      <c r="U3" s="3">
        <f t="shared" ca="1" si="0"/>
        <v>126021.209</v>
      </c>
      <c r="W3" s="3">
        <f t="shared" ref="W3:W10" ca="1" si="3">AVERAGE(L3:U3)</f>
        <v>126292.72510000001</v>
      </c>
      <c r="Y3" s="3">
        <f ca="1">Total!E3</f>
        <v>126021.209</v>
      </c>
      <c r="AB3" s="3">
        <f t="shared" ca="1" si="1"/>
        <v>3.0927333826800533E-3</v>
      </c>
      <c r="AC3" s="3">
        <f t="shared" ca="1" si="1"/>
        <v>1.7102279982093662E-3</v>
      </c>
      <c r="AD3" s="3">
        <f t="shared" ca="1" si="1"/>
        <v>2.4937627760736095E-3</v>
      </c>
      <c r="AE3" s="3">
        <f t="shared" ca="1" si="1"/>
        <v>2.4855974838330392E-3</v>
      </c>
      <c r="AF3" s="3">
        <f t="shared" ca="1" si="1"/>
        <v>1.5391218790798899E-3</v>
      </c>
      <c r="AG3" s="3">
        <f t="shared" ca="1" si="1"/>
        <v>3.92250640921881E-3</v>
      </c>
      <c r="AH3" s="3">
        <f t="shared" ca="1" si="1"/>
        <v>1.9067742795579306E-3</v>
      </c>
      <c r="AI3" s="3">
        <f t="shared" ca="1" si="1"/>
        <v>2.3435102896052591E-3</v>
      </c>
      <c r="AJ3" s="3">
        <f t="shared" ca="1" si="1"/>
        <v>2.0510357109810142E-3</v>
      </c>
      <c r="AK3" s="3">
        <f t="shared" ca="1" si="1"/>
        <v>0</v>
      </c>
      <c r="AM3" s="3">
        <f t="shared" ref="AM3:AM10" ca="1" si="4">SUM(AB3:AK3)</f>
        <v>2.1545270209238972E-2</v>
      </c>
    </row>
    <row r="4" spans="1:39" x14ac:dyDescent="0.25">
      <c r="A4" s="3" t="s">
        <v>2</v>
      </c>
      <c r="B4" s="3">
        <v>24</v>
      </c>
      <c r="C4" s="3">
        <v>1</v>
      </c>
      <c r="D4" s="3">
        <v>56000.858</v>
      </c>
      <c r="E4" s="3">
        <v>1.2370000000000001</v>
      </c>
      <c r="F4" s="3">
        <v>198</v>
      </c>
      <c r="H4" s="3" t="s">
        <v>2</v>
      </c>
      <c r="I4" s="3">
        <v>100</v>
      </c>
      <c r="J4" s="3">
        <v>1</v>
      </c>
      <c r="L4" s="3">
        <f t="shared" ca="1" si="2"/>
        <v>1217048.557</v>
      </c>
      <c r="M4" s="3">
        <f t="shared" ca="1" si="0"/>
        <v>1216952.044</v>
      </c>
      <c r="N4" s="3">
        <f t="shared" ca="1" si="0"/>
        <v>1217034.868</v>
      </c>
      <c r="O4" s="3">
        <f t="shared" ca="1" si="0"/>
        <v>1216589.2930000001</v>
      </c>
      <c r="P4" s="3">
        <f t="shared" ca="1" si="0"/>
        <v>1216815.1089999999</v>
      </c>
      <c r="Q4" s="3">
        <f t="shared" ca="1" si="0"/>
        <v>1216923.9539999999</v>
      </c>
      <c r="R4" s="3">
        <f t="shared" ca="1" si="0"/>
        <v>1217052.3629999999</v>
      </c>
      <c r="S4" s="3">
        <f t="shared" ca="1" si="0"/>
        <v>1216988.433</v>
      </c>
      <c r="T4" s="3">
        <f t="shared" ca="1" si="0"/>
        <v>1216797.129</v>
      </c>
      <c r="U4" s="3">
        <f t="shared" ca="1" si="0"/>
        <v>1216556.6340000001</v>
      </c>
      <c r="W4" s="3">
        <f t="shared" ca="1" si="3"/>
        <v>1216875.8384000002</v>
      </c>
      <c r="Y4" s="3">
        <f ca="1">Total!E4</f>
        <v>1216556.6340000001</v>
      </c>
      <c r="AB4" s="3">
        <f t="shared" ca="1" si="1"/>
        <v>4.0435684311919303E-4</v>
      </c>
      <c r="AC4" s="3">
        <f t="shared" ca="1" si="1"/>
        <v>3.2502391499836757E-4</v>
      </c>
      <c r="AD4" s="3">
        <f t="shared" ca="1" si="1"/>
        <v>3.9310459261359673E-4</v>
      </c>
      <c r="AE4" s="3">
        <f t="shared" ca="1" si="1"/>
        <v>2.6845441541511579E-5</v>
      </c>
      <c r="AF4" s="3">
        <f t="shared" ca="1" si="1"/>
        <v>2.1246442029583334E-4</v>
      </c>
      <c r="AG4" s="3">
        <f t="shared" ca="1" si="1"/>
        <v>3.0193415557818772E-4</v>
      </c>
      <c r="AH4" s="3">
        <f t="shared" ca="1" si="1"/>
        <v>4.074853452320391E-4</v>
      </c>
      <c r="AI4" s="3">
        <f t="shared" ca="1" si="1"/>
        <v>3.5493538724961867E-4</v>
      </c>
      <c r="AJ4" s="3">
        <f t="shared" ca="1" si="1"/>
        <v>1.976850014858239E-4</v>
      </c>
      <c r="AK4" s="3">
        <f t="shared" ca="1" si="1"/>
        <v>0</v>
      </c>
      <c r="AM4" s="3">
        <f t="shared" ca="1" si="4"/>
        <v>2.6238351021141719E-3</v>
      </c>
    </row>
    <row r="5" spans="1:39" x14ac:dyDescent="0.25">
      <c r="A5" s="3" t="s">
        <v>2</v>
      </c>
      <c r="B5" s="3">
        <v>24</v>
      </c>
      <c r="C5" s="3">
        <v>1</v>
      </c>
      <c r="D5" s="3">
        <v>55968.555999999997</v>
      </c>
      <c r="E5" s="3">
        <v>1.2390000000000001</v>
      </c>
      <c r="F5" s="3">
        <v>201</v>
      </c>
      <c r="H5" s="3" t="s">
        <v>1</v>
      </c>
      <c r="I5" s="3">
        <v>30</v>
      </c>
      <c r="J5" s="3">
        <v>1</v>
      </c>
      <c r="L5" s="3">
        <f t="shared" ca="1" si="2"/>
        <v>20004.554</v>
      </c>
      <c r="M5" s="3">
        <f t="shared" ca="1" si="0"/>
        <v>20008.550999999999</v>
      </c>
      <c r="N5" s="3">
        <f t="shared" ca="1" si="0"/>
        <v>20107.87</v>
      </c>
      <c r="O5" s="3">
        <f t="shared" ca="1" si="0"/>
        <v>20037.827000000001</v>
      </c>
      <c r="P5" s="3">
        <f t="shared" ca="1" si="0"/>
        <v>19993.181</v>
      </c>
      <c r="Q5" s="3">
        <f t="shared" ca="1" si="0"/>
        <v>20009.045999999998</v>
      </c>
      <c r="R5" s="3">
        <f t="shared" ca="1" si="0"/>
        <v>19999.460999999999</v>
      </c>
      <c r="S5" s="3">
        <f t="shared" ca="1" si="0"/>
        <v>19992.897000000001</v>
      </c>
      <c r="T5" s="3">
        <f t="shared" ca="1" si="0"/>
        <v>19998.782999999999</v>
      </c>
      <c r="U5" s="3">
        <f t="shared" ca="1" si="0"/>
        <v>20022.977999999999</v>
      </c>
      <c r="W5" s="3">
        <f t="shared" ca="1" si="3"/>
        <v>20017.514799999997</v>
      </c>
      <c r="Y5" s="3">
        <f ca="1">Total!E5</f>
        <v>19969.536</v>
      </c>
      <c r="AB5" s="3">
        <f t="shared" ca="1" si="1"/>
        <v>1.7535710394072266E-3</v>
      </c>
      <c r="AC5" s="3">
        <f t="shared" ca="1" si="1"/>
        <v>1.9537259153141777E-3</v>
      </c>
      <c r="AD5" s="3">
        <f t="shared" ca="1" si="1"/>
        <v>6.9272515896212569E-3</v>
      </c>
      <c r="AE5" s="3">
        <f t="shared" ca="1" si="1"/>
        <v>3.4197589768736277E-3</v>
      </c>
      <c r="AF5" s="3">
        <f t="shared" ca="1" si="1"/>
        <v>1.1840535503679422E-3</v>
      </c>
      <c r="AG5" s="3">
        <f t="shared" ca="1" si="1"/>
        <v>1.9785136720251485E-3</v>
      </c>
      <c r="AH5" s="3">
        <f t="shared" ca="1" si="1"/>
        <v>1.4985325648026711E-3</v>
      </c>
      <c r="AI5" s="3">
        <f t="shared" ca="1" si="1"/>
        <v>1.1698318879317369E-3</v>
      </c>
      <c r="AJ5" s="3">
        <f t="shared" ca="1" si="1"/>
        <v>1.464580849550004E-3</v>
      </c>
      <c r="AK5" s="3">
        <f t="shared" ca="1" si="1"/>
        <v>2.6761763518190458E-3</v>
      </c>
      <c r="AM5" s="3">
        <f t="shared" ca="1" si="4"/>
        <v>2.4025996397712836E-2</v>
      </c>
    </row>
    <row r="6" spans="1:39" x14ac:dyDescent="0.25">
      <c r="A6" s="3" t="s">
        <v>2</v>
      </c>
      <c r="B6" s="3">
        <v>24</v>
      </c>
      <c r="C6" s="3">
        <v>1</v>
      </c>
      <c r="D6" s="3">
        <v>55979.362999999998</v>
      </c>
      <c r="E6" s="3">
        <v>1.236</v>
      </c>
      <c r="F6" s="3">
        <v>211</v>
      </c>
      <c r="H6" s="3" t="s">
        <v>1</v>
      </c>
      <c r="I6" s="3">
        <v>50</v>
      </c>
      <c r="J6" s="3">
        <v>1</v>
      </c>
      <c r="L6" s="3">
        <f t="shared" ca="1" si="2"/>
        <v>35330.521999999997</v>
      </c>
      <c r="M6" s="3">
        <f t="shared" ca="1" si="0"/>
        <v>35283.300999999999</v>
      </c>
      <c r="N6" s="3">
        <f t="shared" ca="1" si="0"/>
        <v>35314.47</v>
      </c>
      <c r="O6" s="3">
        <f t="shared" ca="1" si="0"/>
        <v>35368.608</v>
      </c>
      <c r="P6" s="3">
        <f t="shared" ca="1" si="0"/>
        <v>35298.858</v>
      </c>
      <c r="Q6" s="3">
        <f t="shared" ca="1" si="0"/>
        <v>35347.184999999998</v>
      </c>
      <c r="R6" s="3">
        <f t="shared" ca="1" si="0"/>
        <v>35321.432000000001</v>
      </c>
      <c r="S6" s="3">
        <f t="shared" ca="1" si="0"/>
        <v>35386.156000000003</v>
      </c>
      <c r="T6" s="3">
        <f t="shared" ca="1" si="0"/>
        <v>35332.985000000001</v>
      </c>
      <c r="U6" s="3">
        <f t="shared" ca="1" si="0"/>
        <v>35291.964</v>
      </c>
      <c r="W6" s="3">
        <f t="shared" ca="1" si="3"/>
        <v>35327.5481</v>
      </c>
      <c r="Y6" s="3">
        <f ca="1">Total!E6</f>
        <v>35277.981</v>
      </c>
      <c r="AB6" s="3">
        <f t="shared" ca="1" si="1"/>
        <v>1.4893426015507361E-3</v>
      </c>
      <c r="AC6" s="3">
        <f t="shared" ca="1" si="1"/>
        <v>1.5080228089015948E-4</v>
      </c>
      <c r="AD6" s="3">
        <f t="shared" ca="1" si="1"/>
        <v>1.0343278998875076E-3</v>
      </c>
      <c r="AE6" s="3">
        <f t="shared" ca="1" si="1"/>
        <v>2.568939531998739E-3</v>
      </c>
      <c r="AF6" s="3">
        <f t="shared" ca="1" si="1"/>
        <v>5.9178556732031827E-4</v>
      </c>
      <c r="AG6" s="3">
        <f t="shared" ca="1" si="1"/>
        <v>1.961676888481739E-3</v>
      </c>
      <c r="AH6" s="3">
        <f t="shared" ca="1" si="1"/>
        <v>1.2316747945411313E-3</v>
      </c>
      <c r="AI6" s="3">
        <f t="shared" ca="1" si="1"/>
        <v>3.0663602885891601E-3</v>
      </c>
      <c r="AJ6" s="3">
        <f t="shared" ca="1" si="1"/>
        <v>1.5591595221960354E-3</v>
      </c>
      <c r="AK6" s="3">
        <f t="shared" ca="1" si="1"/>
        <v>3.9636622061790257E-4</v>
      </c>
      <c r="AM6" s="3">
        <f t="shared" ca="1" si="4"/>
        <v>1.4050435596073428E-2</v>
      </c>
    </row>
    <row r="7" spans="1:39" x14ac:dyDescent="0.25">
      <c r="A7" s="3" t="s">
        <v>2</v>
      </c>
      <c r="B7" s="3">
        <v>24</v>
      </c>
      <c r="C7" s="3">
        <v>1</v>
      </c>
      <c r="D7" s="3">
        <v>55999.243000000002</v>
      </c>
      <c r="E7" s="3">
        <v>1.2390000000000001</v>
      </c>
      <c r="F7" s="3">
        <v>181</v>
      </c>
      <c r="H7" s="3" t="s">
        <v>1</v>
      </c>
      <c r="I7" s="3">
        <v>100</v>
      </c>
      <c r="J7" s="3">
        <v>1</v>
      </c>
      <c r="L7" s="3">
        <f t="shared" ca="1" si="2"/>
        <v>63130.667000000001</v>
      </c>
      <c r="M7" s="3">
        <f t="shared" ca="1" si="0"/>
        <v>63042.120999999999</v>
      </c>
      <c r="N7" s="3">
        <f t="shared" ca="1" si="0"/>
        <v>63073.59</v>
      </c>
      <c r="O7" s="3">
        <f t="shared" ca="1" si="0"/>
        <v>63072.874000000003</v>
      </c>
      <c r="P7" s="3">
        <f t="shared" ca="1" si="0"/>
        <v>63144.652000000002</v>
      </c>
      <c r="Q7" s="3">
        <f t="shared" ca="1" si="0"/>
        <v>63083.235000000001</v>
      </c>
      <c r="R7" s="3">
        <f t="shared" ca="1" si="0"/>
        <v>63093.786</v>
      </c>
      <c r="S7" s="3">
        <f t="shared" ca="1" si="0"/>
        <v>63058.468999999997</v>
      </c>
      <c r="T7" s="3">
        <f t="shared" ca="1" si="0"/>
        <v>63056.917000000001</v>
      </c>
      <c r="U7" s="3">
        <f t="shared" ca="1" si="0"/>
        <v>63087.159</v>
      </c>
      <c r="W7" s="3">
        <f t="shared" ca="1" si="3"/>
        <v>63084.346999999994</v>
      </c>
      <c r="Y7" s="3">
        <f ca="1">Total!E7</f>
        <v>63035.512000000002</v>
      </c>
      <c r="AB7" s="3">
        <f t="shared" ca="1" si="1"/>
        <v>1.5095459207184489E-3</v>
      </c>
      <c r="AC7" s="3">
        <f t="shared" ca="1" si="1"/>
        <v>1.0484566223554653E-4</v>
      </c>
      <c r="AD7" s="3">
        <f t="shared" ca="1" si="1"/>
        <v>6.0407219346444053E-4</v>
      </c>
      <c r="AE7" s="3">
        <f t="shared" ca="1" si="1"/>
        <v>5.9271351678718794E-4</v>
      </c>
      <c r="AF7" s="3">
        <f t="shared" ca="1" si="1"/>
        <v>1.7314049896191754E-3</v>
      </c>
      <c r="AG7" s="3">
        <f t="shared" ca="1" si="1"/>
        <v>7.5708118306389157E-4</v>
      </c>
      <c r="AH7" s="3">
        <f t="shared" ca="1" si="1"/>
        <v>9.2446302331926182E-4</v>
      </c>
      <c r="AI7" s="3">
        <f t="shared" ca="1" si="1"/>
        <v>3.6419153698624479E-4</v>
      </c>
      <c r="AJ7" s="3">
        <f t="shared" ca="1" si="1"/>
        <v>3.3957049480297445E-4</v>
      </c>
      <c r="AK7" s="3">
        <f t="shared" ca="1" si="1"/>
        <v>8.1933180775936598E-4</v>
      </c>
      <c r="AM7" s="3">
        <f t="shared" ca="1" si="4"/>
        <v>7.7472203287565393E-3</v>
      </c>
    </row>
    <row r="8" spans="1:39" x14ac:dyDescent="0.25">
      <c r="A8" s="3" t="s">
        <v>2</v>
      </c>
      <c r="B8" s="3">
        <v>24</v>
      </c>
      <c r="C8" s="3">
        <v>1</v>
      </c>
      <c r="D8" s="3">
        <v>55988.184999999998</v>
      </c>
      <c r="E8" s="3">
        <v>1.258</v>
      </c>
      <c r="F8" s="3">
        <v>207</v>
      </c>
      <c r="H8" s="3" t="s">
        <v>0</v>
      </c>
      <c r="I8" s="3">
        <v>25</v>
      </c>
      <c r="J8" s="3">
        <v>1</v>
      </c>
      <c r="L8" s="3">
        <f t="shared" ca="1" si="2"/>
        <v>724.16200000000003</v>
      </c>
      <c r="M8" s="3">
        <f t="shared" ca="1" si="0"/>
        <v>723.53300000000002</v>
      </c>
      <c r="N8" s="3">
        <f t="shared" ca="1" si="0"/>
        <v>723.41399999999999</v>
      </c>
      <c r="O8" s="3">
        <f t="shared" ca="1" si="0"/>
        <v>722.96500000000003</v>
      </c>
      <c r="P8" s="3">
        <f t="shared" ca="1" si="0"/>
        <v>722.96699999999998</v>
      </c>
      <c r="Q8" s="3">
        <f t="shared" ca="1" si="0"/>
        <v>723.43100000000004</v>
      </c>
      <c r="R8" s="3">
        <f t="shared" ca="1" si="0"/>
        <v>723.53300000000002</v>
      </c>
      <c r="S8" s="3">
        <f t="shared" ca="1" si="0"/>
        <v>723.55899999999997</v>
      </c>
      <c r="T8" s="3">
        <f t="shared" ca="1" si="0"/>
        <v>723.726</v>
      </c>
      <c r="U8" s="3">
        <f t="shared" ca="1" si="0"/>
        <v>723.53800000000001</v>
      </c>
      <c r="W8" s="3">
        <f t="shared" ca="1" si="3"/>
        <v>723.48280000000011</v>
      </c>
      <c r="Y8" s="3">
        <f ca="1">Total!E8</f>
        <v>722.92</v>
      </c>
      <c r="AB8" s="3">
        <f t="shared" ca="1" si="1"/>
        <v>1.7180324240580916E-3</v>
      </c>
      <c r="AC8" s="3">
        <f t="shared" ca="1" si="1"/>
        <v>8.4794998063417312E-4</v>
      </c>
      <c r="AD8" s="3">
        <f t="shared" ca="1" si="1"/>
        <v>6.8333978863501941E-4</v>
      </c>
      <c r="AE8" s="3">
        <f t="shared" ca="1" si="1"/>
        <v>6.2247551596404527E-5</v>
      </c>
      <c r="AF8" s="3">
        <f t="shared" ca="1" si="1"/>
        <v>6.5014109445063727E-5</v>
      </c>
      <c r="AG8" s="3">
        <f t="shared" ca="1" si="1"/>
        <v>7.0685553034925165E-4</v>
      </c>
      <c r="AH8" s="3">
        <f t="shared" ca="1" si="1"/>
        <v>8.4794998063417312E-4</v>
      </c>
      <c r="AI8" s="3">
        <f t="shared" ca="1" si="1"/>
        <v>8.83915232667529E-4</v>
      </c>
      <c r="AJ8" s="3">
        <f t="shared" ca="1" si="1"/>
        <v>1.1149228130360759E-3</v>
      </c>
      <c r="AK8" s="3">
        <f t="shared" ca="1" si="1"/>
        <v>8.5486637525597833E-4</v>
      </c>
      <c r="AM8" s="3">
        <f t="shared" ca="1" si="4"/>
        <v>7.7850937863117604E-3</v>
      </c>
    </row>
    <row r="9" spans="1:39" x14ac:dyDescent="0.25">
      <c r="A9" s="3" t="s">
        <v>2</v>
      </c>
      <c r="B9" s="3">
        <v>24</v>
      </c>
      <c r="C9" s="3">
        <v>1</v>
      </c>
      <c r="D9" s="3">
        <v>55973.137000000002</v>
      </c>
      <c r="E9" s="3">
        <v>1.236</v>
      </c>
      <c r="F9" s="3">
        <v>211</v>
      </c>
      <c r="H9" s="3" t="s">
        <v>0</v>
      </c>
      <c r="I9" s="3">
        <v>50</v>
      </c>
      <c r="J9" s="3">
        <v>1</v>
      </c>
      <c r="L9" s="3">
        <f t="shared" ca="1" si="2"/>
        <v>1571.729</v>
      </c>
      <c r="M9" s="3">
        <f t="shared" ca="1" si="0"/>
        <v>1571.9680000000001</v>
      </c>
      <c r="N9" s="3">
        <f t="shared" ca="1" si="0"/>
        <v>1570.838</v>
      </c>
      <c r="O9" s="3">
        <f t="shared" ca="1" si="0"/>
        <v>1571.434</v>
      </c>
      <c r="P9" s="3">
        <f t="shared" ca="1" si="0"/>
        <v>1571.33</v>
      </c>
      <c r="Q9" s="3">
        <f t="shared" ca="1" si="0"/>
        <v>1571.4380000000001</v>
      </c>
      <c r="R9" s="3">
        <f t="shared" ca="1" si="0"/>
        <v>1570.5709999999999</v>
      </c>
      <c r="S9" s="3">
        <f t="shared" ca="1" si="0"/>
        <v>1571.761</v>
      </c>
      <c r="T9" s="3">
        <f t="shared" ca="1" si="0"/>
        <v>1571.925</v>
      </c>
      <c r="U9" s="3">
        <f t="shared" ca="1" si="0"/>
        <v>1574.569</v>
      </c>
      <c r="W9" s="3">
        <f t="shared" ca="1" si="3"/>
        <v>1571.7563</v>
      </c>
      <c r="Y9" s="3">
        <f ca="1">Total!E9</f>
        <v>1570.17</v>
      </c>
      <c r="AB9" s="3">
        <f t="shared" ca="1" si="1"/>
        <v>9.9288612061112429E-4</v>
      </c>
      <c r="AC9" s="3">
        <f t="shared" ca="1" si="1"/>
        <v>1.1450989383315192E-3</v>
      </c>
      <c r="AD9" s="3">
        <f t="shared" ca="1" si="1"/>
        <v>4.2543164115980606E-4</v>
      </c>
      <c r="AE9" s="3">
        <f t="shared" ca="1" si="1"/>
        <v>8.0500837488927713E-4</v>
      </c>
      <c r="AF9" s="3">
        <f t="shared" ca="1" si="1"/>
        <v>7.3877350860088685E-4</v>
      </c>
      <c r="AG9" s="3">
        <f t="shared" ca="1" si="1"/>
        <v>8.075558697466065E-4</v>
      </c>
      <c r="AH9" s="3">
        <f t="shared" ca="1" si="1"/>
        <v>2.5538635943868495E-4</v>
      </c>
      <c r="AI9" s="3">
        <f t="shared" ca="1" si="1"/>
        <v>1.0132660794690347E-3</v>
      </c>
      <c r="AJ9" s="3">
        <f t="shared" ca="1" si="1"/>
        <v>1.1177133686160617E-3</v>
      </c>
      <c r="AK9" s="3">
        <f t="shared" ca="1" si="1"/>
        <v>2.8016074692548496E-3</v>
      </c>
      <c r="AM9" s="3">
        <f t="shared" ca="1" si="4"/>
        <v>1.010272773011785E-2</v>
      </c>
    </row>
    <row r="10" spans="1:39" x14ac:dyDescent="0.25">
      <c r="A10" s="3" t="s">
        <v>2</v>
      </c>
      <c r="B10" s="3">
        <v>24</v>
      </c>
      <c r="C10" s="3">
        <v>1</v>
      </c>
      <c r="D10" s="3">
        <v>56020.584000000003</v>
      </c>
      <c r="E10" s="3">
        <v>1.236</v>
      </c>
      <c r="F10" s="3">
        <v>193</v>
      </c>
      <c r="H10" s="3" t="s">
        <v>28</v>
      </c>
      <c r="I10" s="3">
        <v>100</v>
      </c>
      <c r="J10" s="3">
        <v>1</v>
      </c>
      <c r="L10" s="3">
        <f t="shared" ca="1" si="2"/>
        <v>3292.84</v>
      </c>
      <c r="M10" s="3">
        <f t="shared" ca="1" si="0"/>
        <v>3321.3420000000001</v>
      </c>
      <c r="N10" s="3">
        <f t="shared" ca="1" si="0"/>
        <v>3298.7890000000002</v>
      </c>
      <c r="O10" s="3">
        <f t="shared" ca="1" si="0"/>
        <v>3292.3829999999998</v>
      </c>
      <c r="P10" s="3">
        <f t="shared" ca="1" si="0"/>
        <v>3334.2710000000002</v>
      </c>
      <c r="Q10" s="3">
        <f t="shared" ca="1" si="0"/>
        <v>3293.4490000000001</v>
      </c>
      <c r="R10" s="3">
        <f t="shared" ca="1" si="0"/>
        <v>3321.9079999999999</v>
      </c>
      <c r="S10" s="3">
        <f t="shared" ca="1" si="0"/>
        <v>3321.2350000000001</v>
      </c>
      <c r="T10" s="3">
        <f t="shared" ca="1" si="0"/>
        <v>3326.6469999999999</v>
      </c>
      <c r="U10" s="3">
        <f t="shared" ca="1" si="0"/>
        <v>3302.42</v>
      </c>
      <c r="W10" s="3">
        <f t="shared" ca="1" si="3"/>
        <v>3310.5284000000001</v>
      </c>
      <c r="Y10" s="3">
        <f ca="1">Total!E10</f>
        <v>3290.5340000000001</v>
      </c>
      <c r="AB10" s="3">
        <f t="shared" ca="1" si="1"/>
        <v>7.0079810754121973E-4</v>
      </c>
      <c r="AC10" s="3">
        <f t="shared" ca="1" si="1"/>
        <v>9.3626140924239019E-3</v>
      </c>
      <c r="AD10" s="3">
        <f t="shared" ca="1" si="1"/>
        <v>2.5087113520176692E-3</v>
      </c>
      <c r="AE10" s="3">
        <f t="shared" ca="1" si="1"/>
        <v>5.6191487460688914E-4</v>
      </c>
      <c r="AF10" s="3">
        <f t="shared" ca="1" si="1"/>
        <v>1.3291763586092737E-2</v>
      </c>
      <c r="AG10" s="3">
        <f t="shared" ca="1" si="1"/>
        <v>8.8587445077302452E-4</v>
      </c>
      <c r="AH10" s="3">
        <f t="shared" ca="1" si="1"/>
        <v>9.5346226478741133E-3</v>
      </c>
      <c r="AI10" s="3">
        <f t="shared" ca="1" si="1"/>
        <v>9.3300965739907329E-3</v>
      </c>
      <c r="AJ10" s="3">
        <f t="shared" ca="1" si="1"/>
        <v>1.0974814422218348E-2</v>
      </c>
      <c r="AK10" s="3">
        <f t="shared" ca="1" si="1"/>
        <v>3.6121796644556681E-3</v>
      </c>
      <c r="AM10" s="3">
        <f t="shared" ca="1" si="4"/>
        <v>6.076338977199431E-2</v>
      </c>
    </row>
    <row r="11" spans="1:39" x14ac:dyDescent="0.25">
      <c r="A11" s="3" t="s">
        <v>2</v>
      </c>
      <c r="B11" s="3">
        <v>47</v>
      </c>
      <c r="C11" s="3">
        <v>1</v>
      </c>
      <c r="D11" s="3">
        <v>126410.959</v>
      </c>
      <c r="E11" s="3">
        <v>4.1539999999999999</v>
      </c>
      <c r="F11" s="3">
        <v>197</v>
      </c>
    </row>
    <row r="12" spans="1:39" x14ac:dyDescent="0.25">
      <c r="A12" s="3" t="s">
        <v>2</v>
      </c>
      <c r="B12" s="3">
        <v>47</v>
      </c>
      <c r="C12" s="3">
        <v>1</v>
      </c>
      <c r="D12" s="3">
        <v>126236.734</v>
      </c>
      <c r="E12" s="3">
        <v>4.1479999999999997</v>
      </c>
      <c r="F12" s="3">
        <v>208</v>
      </c>
    </row>
    <row r="13" spans="1:39" x14ac:dyDescent="0.25">
      <c r="A13" s="3" t="s">
        <v>2</v>
      </c>
      <c r="B13" s="3">
        <v>47</v>
      </c>
      <c r="C13" s="3">
        <v>1</v>
      </c>
      <c r="D13" s="3">
        <v>126335.476</v>
      </c>
      <c r="E13" s="3">
        <v>4.1399999999999997</v>
      </c>
      <c r="F13" s="3">
        <v>198</v>
      </c>
    </row>
    <row r="14" spans="1:39" x14ac:dyDescent="0.25">
      <c r="A14" s="3" t="s">
        <v>2</v>
      </c>
      <c r="B14" s="3">
        <v>47</v>
      </c>
      <c r="C14" s="3">
        <v>1</v>
      </c>
      <c r="D14" s="3">
        <v>126334.447</v>
      </c>
      <c r="E14" s="3">
        <v>4.1509999999999998</v>
      </c>
      <c r="F14" s="3">
        <v>205</v>
      </c>
    </row>
    <row r="15" spans="1:39" x14ac:dyDescent="0.25">
      <c r="A15" s="3" t="s">
        <v>2</v>
      </c>
      <c r="B15" s="3">
        <v>47</v>
      </c>
      <c r="C15" s="3">
        <v>1</v>
      </c>
      <c r="D15" s="3">
        <v>126215.171</v>
      </c>
      <c r="E15" s="3">
        <v>4.1500000000000004</v>
      </c>
      <c r="F15" s="3">
        <v>201</v>
      </c>
    </row>
    <row r="16" spans="1:39" x14ac:dyDescent="0.25">
      <c r="A16" s="3" t="s">
        <v>2</v>
      </c>
      <c r="B16" s="3">
        <v>47</v>
      </c>
      <c r="C16" s="3">
        <v>1</v>
      </c>
      <c r="D16" s="3">
        <v>126515.52800000001</v>
      </c>
      <c r="E16" s="3">
        <v>4.1449999999999996</v>
      </c>
      <c r="F16" s="3">
        <v>201</v>
      </c>
    </row>
    <row r="17" spans="1:6" x14ac:dyDescent="0.25">
      <c r="A17" s="3" t="s">
        <v>2</v>
      </c>
      <c r="B17" s="3">
        <v>47</v>
      </c>
      <c r="C17" s="3">
        <v>1</v>
      </c>
      <c r="D17" s="3">
        <v>126261.503</v>
      </c>
      <c r="E17" s="3">
        <v>4.1440000000000001</v>
      </c>
      <c r="F17" s="3">
        <v>206</v>
      </c>
    </row>
    <row r="18" spans="1:6" x14ac:dyDescent="0.25">
      <c r="A18" s="3" t="s">
        <v>2</v>
      </c>
      <c r="B18" s="3">
        <v>47</v>
      </c>
      <c r="C18" s="3">
        <v>1</v>
      </c>
      <c r="D18" s="3">
        <v>126316.541</v>
      </c>
      <c r="E18" s="3">
        <v>4.1470000000000002</v>
      </c>
      <c r="F18" s="3">
        <v>197</v>
      </c>
    </row>
    <row r="19" spans="1:6" x14ac:dyDescent="0.25">
      <c r="A19" s="3" t="s">
        <v>2</v>
      </c>
      <c r="B19" s="3">
        <v>47</v>
      </c>
      <c r="C19" s="3">
        <v>1</v>
      </c>
      <c r="D19" s="3">
        <v>126279.683</v>
      </c>
      <c r="E19" s="3">
        <v>4.1420000000000003</v>
      </c>
      <c r="F19" s="3">
        <v>201</v>
      </c>
    </row>
    <row r="20" spans="1:6" x14ac:dyDescent="0.25">
      <c r="A20" s="3" t="s">
        <v>2</v>
      </c>
      <c r="B20" s="3">
        <v>47</v>
      </c>
      <c r="C20" s="3">
        <v>1</v>
      </c>
      <c r="D20" s="3">
        <v>126021.209</v>
      </c>
      <c r="E20" s="3">
        <v>4.1520000000000001</v>
      </c>
      <c r="F20" s="3">
        <v>202</v>
      </c>
    </row>
    <row r="21" spans="1:6" x14ac:dyDescent="0.25">
      <c r="A21" s="3" t="s">
        <v>2</v>
      </c>
      <c r="B21" s="3">
        <v>100</v>
      </c>
      <c r="C21" s="3">
        <v>1</v>
      </c>
      <c r="D21" s="3">
        <v>1217048.557</v>
      </c>
      <c r="E21" s="3">
        <v>22.117000000000001</v>
      </c>
      <c r="F21" s="3">
        <v>217</v>
      </c>
    </row>
    <row r="22" spans="1:6" x14ac:dyDescent="0.25">
      <c r="A22" s="3" t="s">
        <v>2</v>
      </c>
      <c r="B22" s="3">
        <v>100</v>
      </c>
      <c r="C22" s="3">
        <v>1</v>
      </c>
      <c r="D22" s="3">
        <v>1216952.044</v>
      </c>
      <c r="E22" s="3">
        <v>22.082000000000001</v>
      </c>
      <c r="F22" s="3">
        <v>214</v>
      </c>
    </row>
    <row r="23" spans="1:6" x14ac:dyDescent="0.25">
      <c r="A23" s="3" t="s">
        <v>2</v>
      </c>
      <c r="B23" s="3">
        <v>100</v>
      </c>
      <c r="C23" s="3">
        <v>1</v>
      </c>
      <c r="D23" s="3">
        <v>1217034.868</v>
      </c>
      <c r="E23" s="3">
        <v>22.065000000000001</v>
      </c>
      <c r="F23" s="3">
        <v>219</v>
      </c>
    </row>
    <row r="24" spans="1:6" x14ac:dyDescent="0.25">
      <c r="A24" s="3" t="s">
        <v>2</v>
      </c>
      <c r="B24" s="3">
        <v>100</v>
      </c>
      <c r="C24" s="3">
        <v>1</v>
      </c>
      <c r="D24" s="3">
        <v>1216589.2930000001</v>
      </c>
      <c r="E24" s="3">
        <v>22.071999999999999</v>
      </c>
      <c r="F24" s="3">
        <v>217</v>
      </c>
    </row>
    <row r="25" spans="1:6" x14ac:dyDescent="0.25">
      <c r="A25" s="3" t="s">
        <v>2</v>
      </c>
      <c r="B25" s="3">
        <v>100</v>
      </c>
      <c r="C25" s="3">
        <v>1</v>
      </c>
      <c r="D25" s="3">
        <v>1216815.1089999999</v>
      </c>
      <c r="E25" s="3">
        <v>22.100999999999999</v>
      </c>
      <c r="F25" s="3">
        <v>219</v>
      </c>
    </row>
    <row r="26" spans="1:6" x14ac:dyDescent="0.25">
      <c r="A26" s="3" t="s">
        <v>2</v>
      </c>
      <c r="B26" s="3">
        <v>100</v>
      </c>
      <c r="C26" s="3">
        <v>1</v>
      </c>
      <c r="D26" s="3">
        <v>1216923.9539999999</v>
      </c>
      <c r="E26" s="3">
        <v>22.120999999999999</v>
      </c>
      <c r="F26" s="3">
        <v>215</v>
      </c>
    </row>
    <row r="27" spans="1:6" x14ac:dyDescent="0.25">
      <c r="A27" s="3" t="s">
        <v>2</v>
      </c>
      <c r="B27" s="3">
        <v>100</v>
      </c>
      <c r="C27" s="3">
        <v>1</v>
      </c>
      <c r="D27" s="3">
        <v>1217052.3629999999</v>
      </c>
      <c r="E27" s="3">
        <v>22.111000000000001</v>
      </c>
      <c r="F27" s="3">
        <v>215</v>
      </c>
    </row>
    <row r="28" spans="1:6" x14ac:dyDescent="0.25">
      <c r="A28" s="3" t="s">
        <v>2</v>
      </c>
      <c r="B28" s="3">
        <v>100</v>
      </c>
      <c r="C28" s="3">
        <v>1</v>
      </c>
      <c r="D28" s="3">
        <v>1216988.433</v>
      </c>
      <c r="E28" s="3">
        <v>22.111000000000001</v>
      </c>
      <c r="F28" s="3">
        <v>220</v>
      </c>
    </row>
    <row r="29" spans="1:6" x14ac:dyDescent="0.25">
      <c r="A29" s="3" t="s">
        <v>2</v>
      </c>
      <c r="B29" s="3">
        <v>100</v>
      </c>
      <c r="C29" s="3">
        <v>1</v>
      </c>
      <c r="D29" s="3">
        <v>1216797.129</v>
      </c>
      <c r="E29" s="3">
        <v>22.126999999999999</v>
      </c>
      <c r="F29" s="3">
        <v>216</v>
      </c>
    </row>
    <row r="30" spans="1:6" x14ac:dyDescent="0.25">
      <c r="A30" s="3" t="s">
        <v>2</v>
      </c>
      <c r="B30" s="3">
        <v>100</v>
      </c>
      <c r="C30" s="3">
        <v>1</v>
      </c>
      <c r="D30" s="3">
        <v>1216556.6340000001</v>
      </c>
      <c r="E30" s="3">
        <v>22.102</v>
      </c>
      <c r="F30" s="3">
        <v>216</v>
      </c>
    </row>
    <row r="31" spans="1:6" x14ac:dyDescent="0.25">
      <c r="A31" s="3" t="s">
        <v>1</v>
      </c>
      <c r="B31" s="3">
        <v>30</v>
      </c>
      <c r="C31" s="3">
        <v>1</v>
      </c>
      <c r="D31" s="3">
        <v>20004.554</v>
      </c>
      <c r="E31" s="3">
        <v>1.351</v>
      </c>
      <c r="F31" s="3">
        <v>120</v>
      </c>
    </row>
    <row r="32" spans="1:6" x14ac:dyDescent="0.25">
      <c r="A32" s="3" t="s">
        <v>1</v>
      </c>
      <c r="B32" s="3">
        <v>30</v>
      </c>
      <c r="C32" s="3">
        <v>1</v>
      </c>
      <c r="D32" s="3">
        <v>20008.550999999999</v>
      </c>
      <c r="E32" s="3">
        <v>1.349</v>
      </c>
      <c r="F32" s="3">
        <v>146</v>
      </c>
    </row>
    <row r="33" spans="1:6" x14ac:dyDescent="0.25">
      <c r="A33" s="3" t="s">
        <v>1</v>
      </c>
      <c r="B33" s="3">
        <v>30</v>
      </c>
      <c r="C33" s="3">
        <v>1</v>
      </c>
      <c r="D33" s="3">
        <v>20107.87</v>
      </c>
      <c r="E33" s="3">
        <v>1.353</v>
      </c>
      <c r="F33" s="3">
        <v>148</v>
      </c>
    </row>
    <row r="34" spans="1:6" x14ac:dyDescent="0.25">
      <c r="A34" s="3" t="s">
        <v>1</v>
      </c>
      <c r="B34" s="3">
        <v>30</v>
      </c>
      <c r="C34" s="3">
        <v>1</v>
      </c>
      <c r="D34" s="3">
        <v>20037.827000000001</v>
      </c>
      <c r="E34" s="3">
        <v>1.3520000000000001</v>
      </c>
      <c r="F34" s="3">
        <v>141</v>
      </c>
    </row>
    <row r="35" spans="1:6" x14ac:dyDescent="0.25">
      <c r="A35" s="3" t="s">
        <v>1</v>
      </c>
      <c r="B35" s="3">
        <v>30</v>
      </c>
      <c r="C35" s="3">
        <v>1</v>
      </c>
      <c r="D35" s="3">
        <v>19993.181</v>
      </c>
      <c r="E35" s="3">
        <v>1.347</v>
      </c>
      <c r="F35" s="3">
        <v>132</v>
      </c>
    </row>
    <row r="36" spans="1:6" x14ac:dyDescent="0.25">
      <c r="A36" s="3" t="s">
        <v>1</v>
      </c>
      <c r="B36" s="3">
        <v>30</v>
      </c>
      <c r="C36" s="3">
        <v>1</v>
      </c>
      <c r="D36" s="3">
        <v>20009.045999999998</v>
      </c>
      <c r="E36" s="3">
        <v>1.347</v>
      </c>
      <c r="F36" s="3">
        <v>142</v>
      </c>
    </row>
    <row r="37" spans="1:6" x14ac:dyDescent="0.25">
      <c r="A37" s="3" t="s">
        <v>1</v>
      </c>
      <c r="B37" s="3">
        <v>30</v>
      </c>
      <c r="C37" s="3">
        <v>1</v>
      </c>
      <c r="D37" s="3">
        <v>19999.460999999999</v>
      </c>
      <c r="E37" s="3">
        <v>1.35</v>
      </c>
      <c r="F37" s="3">
        <v>156</v>
      </c>
    </row>
    <row r="38" spans="1:6" x14ac:dyDescent="0.25">
      <c r="A38" s="3" t="s">
        <v>1</v>
      </c>
      <c r="B38" s="3">
        <v>30</v>
      </c>
      <c r="C38" s="3">
        <v>1</v>
      </c>
      <c r="D38" s="3">
        <v>19992.897000000001</v>
      </c>
      <c r="E38" s="3">
        <v>1.3520000000000001</v>
      </c>
      <c r="F38" s="3">
        <v>140</v>
      </c>
    </row>
    <row r="39" spans="1:6" x14ac:dyDescent="0.25">
      <c r="A39" s="3" t="s">
        <v>1</v>
      </c>
      <c r="B39" s="3">
        <v>30</v>
      </c>
      <c r="C39" s="3">
        <v>1</v>
      </c>
      <c r="D39" s="3">
        <v>19998.782999999999</v>
      </c>
      <c r="E39" s="3">
        <v>1.3460000000000001</v>
      </c>
      <c r="F39" s="3">
        <v>136</v>
      </c>
    </row>
    <row r="40" spans="1:6" x14ac:dyDescent="0.25">
      <c r="A40" s="3" t="s">
        <v>1</v>
      </c>
      <c r="B40" s="3">
        <v>30</v>
      </c>
      <c r="C40" s="3">
        <v>1</v>
      </c>
      <c r="D40" s="3">
        <v>20022.977999999999</v>
      </c>
      <c r="E40" s="3">
        <v>1.35</v>
      </c>
      <c r="F40" s="3">
        <v>155</v>
      </c>
    </row>
    <row r="41" spans="1:6" x14ac:dyDescent="0.25">
      <c r="A41" s="3" t="s">
        <v>1</v>
      </c>
      <c r="B41" s="3">
        <v>50</v>
      </c>
      <c r="C41" s="3">
        <v>1</v>
      </c>
      <c r="D41" s="3">
        <v>35330.521999999997</v>
      </c>
      <c r="E41" s="3">
        <v>3.0470000000000002</v>
      </c>
      <c r="F41" s="3">
        <v>127</v>
      </c>
    </row>
    <row r="42" spans="1:6" x14ac:dyDescent="0.25">
      <c r="A42" s="3" t="s">
        <v>1</v>
      </c>
      <c r="B42" s="3">
        <v>50</v>
      </c>
      <c r="C42" s="3">
        <v>1</v>
      </c>
      <c r="D42" s="3">
        <v>35283.300999999999</v>
      </c>
      <c r="E42" s="3">
        <v>3.0409999999999999</v>
      </c>
      <c r="F42" s="3">
        <v>130</v>
      </c>
    </row>
    <row r="43" spans="1:6" x14ac:dyDescent="0.25">
      <c r="A43" s="3" t="s">
        <v>1</v>
      </c>
      <c r="B43" s="3">
        <v>50</v>
      </c>
      <c r="C43" s="3">
        <v>1</v>
      </c>
      <c r="D43" s="3">
        <v>35314.47</v>
      </c>
      <c r="E43" s="3">
        <v>3.0569999999999999</v>
      </c>
      <c r="F43" s="3">
        <v>124</v>
      </c>
    </row>
    <row r="44" spans="1:6" x14ac:dyDescent="0.25">
      <c r="A44" s="3" t="s">
        <v>1</v>
      </c>
      <c r="B44" s="3">
        <v>50</v>
      </c>
      <c r="C44" s="3">
        <v>1</v>
      </c>
      <c r="D44" s="3">
        <v>35368.608</v>
      </c>
      <c r="E44" s="3">
        <v>3.0539999999999998</v>
      </c>
      <c r="F44" s="3">
        <v>130</v>
      </c>
    </row>
    <row r="45" spans="1:6" x14ac:dyDescent="0.25">
      <c r="A45" s="3" t="s">
        <v>1</v>
      </c>
      <c r="B45" s="3">
        <v>50</v>
      </c>
      <c r="C45" s="3">
        <v>1</v>
      </c>
      <c r="D45" s="3">
        <v>35298.858</v>
      </c>
      <c r="E45" s="3">
        <v>3.0459999999999998</v>
      </c>
      <c r="F45" s="3">
        <v>129</v>
      </c>
    </row>
    <row r="46" spans="1:6" x14ac:dyDescent="0.25">
      <c r="A46" s="3" t="s">
        <v>1</v>
      </c>
      <c r="B46" s="3">
        <v>50</v>
      </c>
      <c r="C46" s="3">
        <v>1</v>
      </c>
      <c r="D46" s="3">
        <v>35347.184999999998</v>
      </c>
      <c r="E46" s="3">
        <v>3.0430000000000001</v>
      </c>
      <c r="F46" s="3">
        <v>129</v>
      </c>
    </row>
    <row r="47" spans="1:6" x14ac:dyDescent="0.25">
      <c r="A47" s="3" t="s">
        <v>1</v>
      </c>
      <c r="B47" s="3">
        <v>50</v>
      </c>
      <c r="C47" s="3">
        <v>1</v>
      </c>
      <c r="D47" s="3">
        <v>35321.432000000001</v>
      </c>
      <c r="E47" s="3">
        <v>3.032</v>
      </c>
      <c r="F47" s="3">
        <v>124</v>
      </c>
    </row>
    <row r="48" spans="1:6" x14ac:dyDescent="0.25">
      <c r="A48" s="3" t="s">
        <v>1</v>
      </c>
      <c r="B48" s="3">
        <v>50</v>
      </c>
      <c r="C48" s="3">
        <v>1</v>
      </c>
      <c r="D48" s="3">
        <v>35386.156000000003</v>
      </c>
      <c r="E48" s="3">
        <v>3.0430000000000001</v>
      </c>
      <c r="F48" s="3">
        <v>136</v>
      </c>
    </row>
    <row r="49" spans="1:6" x14ac:dyDescent="0.25">
      <c r="A49" s="3" t="s">
        <v>1</v>
      </c>
      <c r="B49" s="3">
        <v>50</v>
      </c>
      <c r="C49" s="3">
        <v>1</v>
      </c>
      <c r="D49" s="3">
        <v>35332.985000000001</v>
      </c>
      <c r="E49" s="3">
        <v>3.036</v>
      </c>
      <c r="F49" s="3">
        <v>131</v>
      </c>
    </row>
    <row r="50" spans="1:6" x14ac:dyDescent="0.25">
      <c r="A50" s="3" t="s">
        <v>1</v>
      </c>
      <c r="B50" s="3">
        <v>50</v>
      </c>
      <c r="C50" s="3">
        <v>1</v>
      </c>
      <c r="D50" s="3">
        <v>35291.964</v>
      </c>
      <c r="E50" s="3">
        <v>3.0449999999999999</v>
      </c>
      <c r="F50" s="3">
        <v>131</v>
      </c>
    </row>
    <row r="51" spans="1:6" x14ac:dyDescent="0.25">
      <c r="A51" s="3" t="s">
        <v>1</v>
      </c>
      <c r="B51" s="3">
        <v>100</v>
      </c>
      <c r="C51" s="3">
        <v>1</v>
      </c>
      <c r="D51" s="3">
        <v>63130.667000000001</v>
      </c>
      <c r="E51" s="3">
        <v>11.708</v>
      </c>
      <c r="F51" s="3">
        <v>114</v>
      </c>
    </row>
    <row r="52" spans="1:6" x14ac:dyDescent="0.25">
      <c r="A52" s="3" t="s">
        <v>1</v>
      </c>
      <c r="B52" s="3">
        <v>100</v>
      </c>
      <c r="C52" s="3">
        <v>1</v>
      </c>
      <c r="D52" s="3">
        <v>63042.120999999999</v>
      </c>
      <c r="E52" s="3">
        <v>11.689</v>
      </c>
      <c r="F52" s="3">
        <v>120</v>
      </c>
    </row>
    <row r="53" spans="1:6" x14ac:dyDescent="0.25">
      <c r="A53" s="3" t="s">
        <v>1</v>
      </c>
      <c r="B53" s="3">
        <v>100</v>
      </c>
      <c r="C53" s="3">
        <v>1</v>
      </c>
      <c r="D53" s="3">
        <v>63073.59</v>
      </c>
      <c r="E53" s="3">
        <v>11.676</v>
      </c>
      <c r="F53" s="3">
        <v>115</v>
      </c>
    </row>
    <row r="54" spans="1:6" x14ac:dyDescent="0.25">
      <c r="A54" s="3" t="s">
        <v>1</v>
      </c>
      <c r="B54" s="3">
        <v>100</v>
      </c>
      <c r="C54" s="3">
        <v>1</v>
      </c>
      <c r="D54" s="3">
        <v>63072.874000000003</v>
      </c>
      <c r="E54" s="3">
        <v>11.734999999999999</v>
      </c>
      <c r="F54" s="3">
        <v>123</v>
      </c>
    </row>
    <row r="55" spans="1:6" x14ac:dyDescent="0.25">
      <c r="A55" s="3" t="s">
        <v>1</v>
      </c>
      <c r="B55" s="3">
        <v>100</v>
      </c>
      <c r="C55" s="3">
        <v>1</v>
      </c>
      <c r="D55" s="3">
        <v>63144.652000000002</v>
      </c>
      <c r="E55" s="3">
        <v>11.728</v>
      </c>
      <c r="F55" s="3">
        <v>120</v>
      </c>
    </row>
    <row r="56" spans="1:6" x14ac:dyDescent="0.25">
      <c r="A56" s="3" t="s">
        <v>1</v>
      </c>
      <c r="B56" s="3">
        <v>100</v>
      </c>
      <c r="C56" s="3">
        <v>1</v>
      </c>
      <c r="D56" s="3">
        <v>63083.235000000001</v>
      </c>
      <c r="E56" s="3">
        <v>11.688000000000001</v>
      </c>
      <c r="F56" s="3">
        <v>117</v>
      </c>
    </row>
    <row r="57" spans="1:6" x14ac:dyDescent="0.25">
      <c r="A57" s="3" t="s">
        <v>1</v>
      </c>
      <c r="B57" s="3">
        <v>100</v>
      </c>
      <c r="C57" s="3">
        <v>1</v>
      </c>
      <c r="D57" s="3">
        <v>63093.786</v>
      </c>
      <c r="E57" s="3">
        <v>11.728</v>
      </c>
      <c r="F57" s="3">
        <v>116</v>
      </c>
    </row>
    <row r="58" spans="1:6" x14ac:dyDescent="0.25">
      <c r="A58" s="3" t="s">
        <v>1</v>
      </c>
      <c r="B58" s="3">
        <v>100</v>
      </c>
      <c r="C58" s="3">
        <v>1</v>
      </c>
      <c r="D58" s="3">
        <v>63058.468999999997</v>
      </c>
      <c r="E58" s="3">
        <v>11.677</v>
      </c>
      <c r="F58" s="3">
        <v>118</v>
      </c>
    </row>
    <row r="59" spans="1:6" x14ac:dyDescent="0.25">
      <c r="A59" s="3" t="s">
        <v>1</v>
      </c>
      <c r="B59" s="3">
        <v>100</v>
      </c>
      <c r="C59" s="3">
        <v>1</v>
      </c>
      <c r="D59" s="3">
        <v>63056.917000000001</v>
      </c>
      <c r="E59" s="3">
        <v>11.717000000000001</v>
      </c>
      <c r="F59" s="3">
        <v>117</v>
      </c>
    </row>
    <row r="60" spans="1:6" x14ac:dyDescent="0.25">
      <c r="A60" s="3" t="s">
        <v>1</v>
      </c>
      <c r="B60" s="3">
        <v>100</v>
      </c>
      <c r="C60" s="3">
        <v>1</v>
      </c>
      <c r="D60" s="3">
        <v>63087.159</v>
      </c>
      <c r="E60" s="3">
        <v>11.715</v>
      </c>
      <c r="F60" s="3">
        <v>118</v>
      </c>
    </row>
    <row r="61" spans="1:6" x14ac:dyDescent="0.25">
      <c r="A61" s="3" t="s">
        <v>0</v>
      </c>
      <c r="B61" s="3">
        <v>25</v>
      </c>
      <c r="C61" s="3">
        <v>1</v>
      </c>
      <c r="D61" s="3">
        <v>724.16200000000003</v>
      </c>
      <c r="E61" s="3">
        <v>0.93100000000000005</v>
      </c>
      <c r="F61" s="3">
        <v>125</v>
      </c>
    </row>
    <row r="62" spans="1:6" x14ac:dyDescent="0.25">
      <c r="A62" s="3" t="s">
        <v>0</v>
      </c>
      <c r="B62" s="3">
        <v>25</v>
      </c>
      <c r="C62" s="3">
        <v>1</v>
      </c>
      <c r="D62" s="3">
        <v>723.53300000000002</v>
      </c>
      <c r="E62" s="3">
        <v>0.90100000000000002</v>
      </c>
      <c r="F62" s="3">
        <v>130</v>
      </c>
    </row>
    <row r="63" spans="1:6" x14ac:dyDescent="0.25">
      <c r="A63" s="3" t="s">
        <v>0</v>
      </c>
      <c r="B63" s="3">
        <v>25</v>
      </c>
      <c r="C63" s="3">
        <v>1</v>
      </c>
      <c r="D63" s="3">
        <v>723.41399999999999</v>
      </c>
      <c r="E63" s="3">
        <v>0.90200000000000002</v>
      </c>
      <c r="F63" s="3">
        <v>127</v>
      </c>
    </row>
    <row r="64" spans="1:6" x14ac:dyDescent="0.25">
      <c r="A64" s="3" t="s">
        <v>0</v>
      </c>
      <c r="B64" s="3">
        <v>25</v>
      </c>
      <c r="C64" s="3">
        <v>1</v>
      </c>
      <c r="D64" s="3">
        <v>722.96500000000003</v>
      </c>
      <c r="E64" s="3">
        <v>0.90300000000000002</v>
      </c>
      <c r="F64" s="3">
        <v>149</v>
      </c>
    </row>
    <row r="65" spans="1:6" x14ac:dyDescent="0.25">
      <c r="A65" s="3" t="s">
        <v>0</v>
      </c>
      <c r="B65" s="3">
        <v>25</v>
      </c>
      <c r="C65" s="3">
        <v>1</v>
      </c>
      <c r="D65" s="3">
        <v>722.96699999999998</v>
      </c>
      <c r="E65" s="3">
        <v>0.90500000000000003</v>
      </c>
      <c r="F65" s="3">
        <v>142</v>
      </c>
    </row>
    <row r="66" spans="1:6" x14ac:dyDescent="0.25">
      <c r="A66" s="3" t="s">
        <v>0</v>
      </c>
      <c r="B66" s="3">
        <v>25</v>
      </c>
      <c r="C66" s="3">
        <v>1</v>
      </c>
      <c r="D66" s="3">
        <v>723.43100000000004</v>
      </c>
      <c r="E66" s="3">
        <v>0.90200000000000002</v>
      </c>
      <c r="F66" s="3">
        <v>141</v>
      </c>
    </row>
    <row r="67" spans="1:6" x14ac:dyDescent="0.25">
      <c r="A67" s="3" t="s">
        <v>0</v>
      </c>
      <c r="B67" s="3">
        <v>25</v>
      </c>
      <c r="C67" s="3">
        <v>1</v>
      </c>
      <c r="D67" s="3">
        <v>723.53300000000002</v>
      </c>
      <c r="E67" s="3">
        <v>0.90200000000000002</v>
      </c>
      <c r="F67" s="3">
        <v>129</v>
      </c>
    </row>
    <row r="68" spans="1:6" x14ac:dyDescent="0.25">
      <c r="A68" s="3" t="s">
        <v>0</v>
      </c>
      <c r="B68" s="3">
        <v>25</v>
      </c>
      <c r="C68" s="3">
        <v>1</v>
      </c>
      <c r="D68" s="3">
        <v>723.55899999999997</v>
      </c>
      <c r="E68" s="3">
        <v>0.90300000000000002</v>
      </c>
      <c r="F68" s="3">
        <v>148</v>
      </c>
    </row>
    <row r="69" spans="1:6" x14ac:dyDescent="0.25">
      <c r="A69" s="3" t="s">
        <v>0</v>
      </c>
      <c r="B69" s="3">
        <v>25</v>
      </c>
      <c r="C69" s="3">
        <v>1</v>
      </c>
      <c r="D69" s="3">
        <v>723.726</v>
      </c>
      <c r="E69" s="3">
        <v>0.90600000000000003</v>
      </c>
      <c r="F69" s="3">
        <v>128</v>
      </c>
    </row>
    <row r="70" spans="1:6" x14ac:dyDescent="0.25">
      <c r="A70" s="3" t="s">
        <v>0</v>
      </c>
      <c r="B70" s="3">
        <v>25</v>
      </c>
      <c r="C70" s="3">
        <v>1</v>
      </c>
      <c r="D70" s="3">
        <v>723.53800000000001</v>
      </c>
      <c r="E70" s="3">
        <v>0.90200000000000002</v>
      </c>
      <c r="F70" s="3">
        <v>141</v>
      </c>
    </row>
    <row r="71" spans="1:6" x14ac:dyDescent="0.25">
      <c r="A71" s="3" t="s">
        <v>0</v>
      </c>
      <c r="B71" s="3">
        <v>50</v>
      </c>
      <c r="C71" s="3">
        <v>1</v>
      </c>
      <c r="D71" s="3">
        <v>1571.729</v>
      </c>
      <c r="E71" s="3">
        <v>3.37</v>
      </c>
      <c r="F71" s="3">
        <v>140</v>
      </c>
    </row>
    <row r="72" spans="1:6" x14ac:dyDescent="0.25">
      <c r="A72" s="3" t="s">
        <v>0</v>
      </c>
      <c r="B72" s="3">
        <v>50</v>
      </c>
      <c r="C72" s="3">
        <v>1</v>
      </c>
      <c r="D72" s="3">
        <v>1571.9680000000001</v>
      </c>
      <c r="E72" s="3">
        <v>3.3740000000000001</v>
      </c>
      <c r="F72" s="3">
        <v>142</v>
      </c>
    </row>
    <row r="73" spans="1:6" x14ac:dyDescent="0.25">
      <c r="A73" s="3" t="s">
        <v>0</v>
      </c>
      <c r="B73" s="3">
        <v>50</v>
      </c>
      <c r="C73" s="3">
        <v>1</v>
      </c>
      <c r="D73" s="3">
        <v>1570.838</v>
      </c>
      <c r="E73" s="3">
        <v>3.375</v>
      </c>
      <c r="F73" s="3">
        <v>138</v>
      </c>
    </row>
    <row r="74" spans="1:6" x14ac:dyDescent="0.25">
      <c r="A74" s="3" t="s">
        <v>0</v>
      </c>
      <c r="B74" s="3">
        <v>50</v>
      </c>
      <c r="C74" s="3">
        <v>1</v>
      </c>
      <c r="D74" s="3">
        <v>1571.434</v>
      </c>
      <c r="E74" s="3">
        <v>3.3740000000000001</v>
      </c>
      <c r="F74" s="3">
        <v>153</v>
      </c>
    </row>
    <row r="75" spans="1:6" x14ac:dyDescent="0.25">
      <c r="A75" s="3" t="s">
        <v>0</v>
      </c>
      <c r="B75" s="3">
        <v>50</v>
      </c>
      <c r="C75" s="3">
        <v>1</v>
      </c>
      <c r="D75" s="3">
        <v>1571.33</v>
      </c>
      <c r="E75" s="3">
        <v>3.3780000000000001</v>
      </c>
      <c r="F75" s="3">
        <v>149</v>
      </c>
    </row>
    <row r="76" spans="1:6" x14ac:dyDescent="0.25">
      <c r="A76" s="3" t="s">
        <v>0</v>
      </c>
      <c r="B76" s="3">
        <v>50</v>
      </c>
      <c r="C76" s="3">
        <v>1</v>
      </c>
      <c r="D76" s="3">
        <v>1571.4380000000001</v>
      </c>
      <c r="E76" s="3">
        <v>3.3740000000000001</v>
      </c>
      <c r="F76" s="3">
        <v>151</v>
      </c>
    </row>
    <row r="77" spans="1:6" x14ac:dyDescent="0.25">
      <c r="A77" s="3" t="s">
        <v>0</v>
      </c>
      <c r="B77" s="3">
        <v>50</v>
      </c>
      <c r="C77" s="3">
        <v>1</v>
      </c>
      <c r="D77" s="3">
        <v>1570.5709999999999</v>
      </c>
      <c r="E77" s="3">
        <v>3.3809999999999998</v>
      </c>
      <c r="F77" s="3">
        <v>148</v>
      </c>
    </row>
    <row r="78" spans="1:6" x14ac:dyDescent="0.25">
      <c r="A78" s="3" t="s">
        <v>0</v>
      </c>
      <c r="B78" s="3">
        <v>50</v>
      </c>
      <c r="C78" s="3">
        <v>1</v>
      </c>
      <c r="D78" s="3">
        <v>1571.761</v>
      </c>
      <c r="E78" s="3">
        <v>3.379</v>
      </c>
      <c r="F78" s="3">
        <v>140</v>
      </c>
    </row>
    <row r="79" spans="1:6" x14ac:dyDescent="0.25">
      <c r="A79" s="3" t="s">
        <v>0</v>
      </c>
      <c r="B79" s="3">
        <v>50</v>
      </c>
      <c r="C79" s="3">
        <v>1</v>
      </c>
      <c r="D79" s="3">
        <v>1571.925</v>
      </c>
      <c r="E79" s="3">
        <v>3.375</v>
      </c>
      <c r="F79" s="3">
        <v>153</v>
      </c>
    </row>
    <row r="80" spans="1:6" x14ac:dyDescent="0.25">
      <c r="A80" s="3" t="s">
        <v>0</v>
      </c>
      <c r="B80" s="3">
        <v>50</v>
      </c>
      <c r="C80" s="3">
        <v>1</v>
      </c>
      <c r="D80" s="3">
        <v>1574.569</v>
      </c>
      <c r="E80" s="3">
        <v>3.3719999999999999</v>
      </c>
      <c r="F80" s="3">
        <v>144</v>
      </c>
    </row>
    <row r="81" spans="1:6" x14ac:dyDescent="0.25">
      <c r="A81" s="3" t="s">
        <v>0</v>
      </c>
      <c r="B81" s="3">
        <v>100</v>
      </c>
      <c r="C81" s="3">
        <v>1</v>
      </c>
      <c r="D81" s="3">
        <v>3292.84</v>
      </c>
      <c r="E81" s="3">
        <v>11.33</v>
      </c>
      <c r="F81" s="3">
        <v>116</v>
      </c>
    </row>
    <row r="82" spans="1:6" x14ac:dyDescent="0.25">
      <c r="A82" s="3" t="s">
        <v>0</v>
      </c>
      <c r="B82" s="3">
        <v>100</v>
      </c>
      <c r="C82" s="3">
        <v>1</v>
      </c>
      <c r="D82" s="3">
        <v>3321.3420000000001</v>
      </c>
      <c r="E82" s="3">
        <v>11.333</v>
      </c>
      <c r="F82" s="3">
        <v>112</v>
      </c>
    </row>
    <row r="83" spans="1:6" x14ac:dyDescent="0.25">
      <c r="A83" s="3" t="s">
        <v>0</v>
      </c>
      <c r="B83" s="3">
        <v>100</v>
      </c>
      <c r="C83" s="3">
        <v>1</v>
      </c>
      <c r="D83" s="3">
        <v>3298.7890000000002</v>
      </c>
      <c r="E83" s="3">
        <v>11.352</v>
      </c>
      <c r="F83" s="3">
        <v>115</v>
      </c>
    </row>
    <row r="84" spans="1:6" x14ac:dyDescent="0.25">
      <c r="A84" s="3" t="s">
        <v>0</v>
      </c>
      <c r="B84" s="3">
        <v>100</v>
      </c>
      <c r="C84" s="3">
        <v>1</v>
      </c>
      <c r="D84" s="3">
        <v>3292.3829999999998</v>
      </c>
      <c r="E84" s="3">
        <v>11.324</v>
      </c>
      <c r="F84" s="3">
        <v>113</v>
      </c>
    </row>
    <row r="85" spans="1:6" x14ac:dyDescent="0.25">
      <c r="A85" s="3" t="s">
        <v>0</v>
      </c>
      <c r="B85" s="3">
        <v>100</v>
      </c>
      <c r="C85" s="3">
        <v>1</v>
      </c>
      <c r="D85" s="3">
        <v>3334.2710000000002</v>
      </c>
      <c r="E85" s="3">
        <v>11.337</v>
      </c>
      <c r="F85" s="3">
        <v>110</v>
      </c>
    </row>
    <row r="86" spans="1:6" x14ac:dyDescent="0.25">
      <c r="A86" s="3" t="s">
        <v>0</v>
      </c>
      <c r="B86" s="3">
        <v>100</v>
      </c>
      <c r="C86" s="3">
        <v>1</v>
      </c>
      <c r="D86" s="3">
        <v>3293.4490000000001</v>
      </c>
      <c r="E86" s="3">
        <v>11.382999999999999</v>
      </c>
      <c r="F86" s="3">
        <v>109</v>
      </c>
    </row>
    <row r="87" spans="1:6" x14ac:dyDescent="0.25">
      <c r="A87" s="3" t="s">
        <v>0</v>
      </c>
      <c r="B87" s="3">
        <v>100</v>
      </c>
      <c r="C87" s="3">
        <v>1</v>
      </c>
      <c r="D87" s="3">
        <v>3321.9079999999999</v>
      </c>
      <c r="E87" s="3">
        <v>11.375999999999999</v>
      </c>
      <c r="F87" s="3">
        <v>112</v>
      </c>
    </row>
    <row r="88" spans="1:6" x14ac:dyDescent="0.25">
      <c r="A88" s="3" t="s">
        <v>0</v>
      </c>
      <c r="B88" s="3">
        <v>100</v>
      </c>
      <c r="C88" s="3">
        <v>1</v>
      </c>
      <c r="D88" s="3">
        <v>3321.2350000000001</v>
      </c>
      <c r="E88" s="3">
        <v>11.311</v>
      </c>
      <c r="F88" s="3">
        <v>110</v>
      </c>
    </row>
    <row r="89" spans="1:6" x14ac:dyDescent="0.25">
      <c r="A89" s="3" t="s">
        <v>0</v>
      </c>
      <c r="B89" s="3">
        <v>100</v>
      </c>
      <c r="C89" s="3">
        <v>1</v>
      </c>
      <c r="D89" s="3">
        <v>3326.6469999999999</v>
      </c>
      <c r="E89" s="3">
        <v>11.419</v>
      </c>
      <c r="F89" s="3">
        <v>110</v>
      </c>
    </row>
    <row r="90" spans="1:6" x14ac:dyDescent="0.25">
      <c r="A90" s="3" t="s">
        <v>0</v>
      </c>
      <c r="B90" s="3">
        <v>100</v>
      </c>
      <c r="C90" s="3">
        <v>1</v>
      </c>
      <c r="D90" s="3">
        <v>3302.42</v>
      </c>
      <c r="E90" s="3">
        <v>11.33</v>
      </c>
      <c r="F90" s="3">
        <v>113</v>
      </c>
    </row>
  </sheetData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0"/>
  <sheetViews>
    <sheetView zoomScale="85" zoomScaleNormal="85" workbookViewId="0">
      <selection sqref="A1:F91"/>
    </sheetView>
  </sheetViews>
  <sheetFormatPr defaultColWidth="9" defaultRowHeight="15" x14ac:dyDescent="0.25"/>
  <cols>
    <col min="1" max="1" width="9.875" style="3" customWidth="1"/>
    <col min="2" max="2" width="4.375" style="3" bestFit="1" customWidth="1"/>
    <col min="3" max="3" width="2.625" style="3" bestFit="1" customWidth="1"/>
    <col min="4" max="4" width="10.75" style="3" customWidth="1"/>
    <col min="5" max="5" width="7" style="3" bestFit="1" customWidth="1"/>
    <col min="6" max="6" width="4.375" style="3" bestFit="1" customWidth="1"/>
    <col min="7" max="7" width="1.875" style="3" customWidth="1"/>
    <col min="8" max="8" width="9.875" style="3" customWidth="1"/>
    <col min="9" max="9" width="4.375" style="3" bestFit="1" customWidth="1"/>
    <col min="10" max="10" width="3.125" style="3" bestFit="1" customWidth="1"/>
    <col min="11" max="11" width="2.125" style="3" customWidth="1"/>
    <col min="12" max="21" width="9" style="3"/>
    <col min="22" max="22" width="3.25" style="3" customWidth="1"/>
    <col min="23" max="23" width="9" style="3"/>
    <col min="24" max="24" width="2.625" style="3" customWidth="1"/>
    <col min="25" max="25" width="9" style="3"/>
    <col min="26" max="26" width="2.125" style="3" customWidth="1"/>
    <col min="27" max="27" width="2.375" style="3" customWidth="1"/>
    <col min="28" max="37" width="9" style="3"/>
    <col min="38" max="38" width="5.625" style="3" customWidth="1"/>
    <col min="39" max="16384" width="9" style="3"/>
  </cols>
  <sheetData>
    <row r="1" spans="1:39" x14ac:dyDescent="0.25">
      <c r="A1" s="3" t="s">
        <v>2</v>
      </c>
      <c r="B1" s="3">
        <v>24</v>
      </c>
      <c r="C1" s="3">
        <v>1</v>
      </c>
      <c r="D1" s="3">
        <v>55975.892</v>
      </c>
      <c r="E1" s="3">
        <v>1.236</v>
      </c>
      <c r="F1" s="3">
        <v>152</v>
      </c>
      <c r="H1" s="5" t="s">
        <v>13</v>
      </c>
      <c r="I1" s="5" t="s">
        <v>14</v>
      </c>
      <c r="J1" s="5" t="s">
        <v>10</v>
      </c>
      <c r="K1" s="2"/>
      <c r="L1" s="2">
        <v>1</v>
      </c>
      <c r="M1" s="2">
        <v>2</v>
      </c>
      <c r="N1" s="2">
        <v>3</v>
      </c>
      <c r="O1" s="2">
        <v>4</v>
      </c>
      <c r="P1" s="2">
        <v>5</v>
      </c>
      <c r="Q1" s="2">
        <v>6</v>
      </c>
      <c r="R1" s="2">
        <v>7</v>
      </c>
      <c r="S1" s="2">
        <v>8</v>
      </c>
      <c r="T1" s="2">
        <v>9</v>
      </c>
      <c r="U1" s="2">
        <v>10</v>
      </c>
      <c r="W1" s="2" t="s">
        <v>11</v>
      </c>
      <c r="X1" s="2"/>
      <c r="Y1" s="2" t="s">
        <v>9</v>
      </c>
      <c r="Z1" s="2"/>
      <c r="AM1" s="5" t="s">
        <v>12</v>
      </c>
    </row>
    <row r="2" spans="1:39" x14ac:dyDescent="0.25">
      <c r="A2" s="3" t="s">
        <v>2</v>
      </c>
      <c r="B2" s="3">
        <v>24</v>
      </c>
      <c r="C2" s="3">
        <v>1</v>
      </c>
      <c r="D2" s="3">
        <v>55973.203000000001</v>
      </c>
      <c r="E2" s="3">
        <v>1.238</v>
      </c>
      <c r="F2" s="3">
        <v>167</v>
      </c>
      <c r="H2" s="3" t="s">
        <v>2</v>
      </c>
      <c r="I2" s="3">
        <v>24</v>
      </c>
      <c r="J2" s="3">
        <v>1</v>
      </c>
      <c r="L2" s="3">
        <f ca="1">INDIRECT("D"&amp;1+(ROW(D1)-1)*10+COLUMN(A1)-1)</f>
        <v>55975.892</v>
      </c>
      <c r="M2" s="3">
        <f t="shared" ref="M2:U10" ca="1" si="0">INDIRECT("D"&amp;1+(ROW(E1)-1)*10+COLUMN(B1)-1)</f>
        <v>55973.203000000001</v>
      </c>
      <c r="N2" s="3">
        <f t="shared" ca="1" si="0"/>
        <v>55950.982000000004</v>
      </c>
      <c r="O2" s="3">
        <f t="shared" ca="1" si="0"/>
        <v>55968.875999999997</v>
      </c>
      <c r="P2" s="3">
        <f t="shared" ca="1" si="0"/>
        <v>56001.495999999999</v>
      </c>
      <c r="Q2" s="3">
        <f t="shared" ca="1" si="0"/>
        <v>55968.917000000001</v>
      </c>
      <c r="R2" s="3">
        <f t="shared" ca="1" si="0"/>
        <v>55984.974999999999</v>
      </c>
      <c r="S2" s="3">
        <f t="shared" ca="1" si="0"/>
        <v>55972.735999999997</v>
      </c>
      <c r="T2" s="3">
        <f t="shared" ca="1" si="0"/>
        <v>55994.398000000001</v>
      </c>
      <c r="U2" s="3">
        <f t="shared" ca="1" si="0"/>
        <v>55952.118000000002</v>
      </c>
      <c r="W2" s="3">
        <f ca="1">AVERAGE(L2:U2)</f>
        <v>55974.359299999989</v>
      </c>
      <c r="Y2" s="3">
        <f ca="1">Total!E2</f>
        <v>55722.476000000002</v>
      </c>
      <c r="AB2" s="3">
        <f t="shared" ref="AB2:AK10" ca="1" si="1">(L2-$Y2)/$Y2</f>
        <v>4.5478237542782097E-3</v>
      </c>
      <c r="AC2" s="3">
        <f t="shared" ca="1" si="1"/>
        <v>4.4995667457418606E-3</v>
      </c>
      <c r="AD2" s="3">
        <f t="shared" ca="1" si="1"/>
        <v>4.1007869068847768E-3</v>
      </c>
      <c r="AE2" s="3">
        <f t="shared" ca="1" si="1"/>
        <v>4.4219140585209128E-3</v>
      </c>
      <c r="AF2" s="3">
        <f t="shared" ca="1" si="1"/>
        <v>5.0073151810410719E-3</v>
      </c>
      <c r="AG2" s="3">
        <f t="shared" ca="1" si="1"/>
        <v>4.4226498477920985E-3</v>
      </c>
      <c r="AH2" s="3">
        <f t="shared" ca="1" si="1"/>
        <v>4.7108279969468002E-3</v>
      </c>
      <c r="AI2" s="3">
        <f t="shared" ca="1" si="1"/>
        <v>4.4911859264831436E-3</v>
      </c>
      <c r="AJ2" s="3">
        <f t="shared" ca="1" si="1"/>
        <v>4.8799339067416648E-3</v>
      </c>
      <c r="AK2" s="3">
        <f t="shared" ca="1" si="1"/>
        <v>4.1211736535181932E-3</v>
      </c>
      <c r="AM2" s="3">
        <f ca="1">SUM(AB2:AK2)</f>
        <v>4.5203177977948733E-2</v>
      </c>
    </row>
    <row r="3" spans="1:39" x14ac:dyDescent="0.25">
      <c r="A3" s="3" t="s">
        <v>2</v>
      </c>
      <c r="B3" s="3">
        <v>24</v>
      </c>
      <c r="C3" s="3">
        <v>1</v>
      </c>
      <c r="D3" s="3">
        <v>55950.982000000004</v>
      </c>
      <c r="E3" s="3">
        <v>1.238</v>
      </c>
      <c r="F3" s="3">
        <v>180</v>
      </c>
      <c r="H3" s="3" t="s">
        <v>2</v>
      </c>
      <c r="I3" s="3">
        <v>47</v>
      </c>
      <c r="J3" s="3">
        <v>1</v>
      </c>
      <c r="L3" s="3">
        <f t="shared" ref="L3:L10" ca="1" si="2">INDIRECT("D"&amp;1+(ROW(D2)-1)*10+COLUMN(A2)-1)</f>
        <v>126383.23299999999</v>
      </c>
      <c r="M3" s="3">
        <f t="shared" ca="1" si="0"/>
        <v>126325.97500000001</v>
      </c>
      <c r="N3" s="3">
        <f t="shared" ca="1" si="0"/>
        <v>126268.83500000001</v>
      </c>
      <c r="O3" s="3">
        <f t="shared" ca="1" si="0"/>
        <v>126184.742</v>
      </c>
      <c r="P3" s="3">
        <f t="shared" ca="1" si="0"/>
        <v>126263.43700000001</v>
      </c>
      <c r="Q3" s="3">
        <f t="shared" ca="1" si="0"/>
        <v>126295.443</v>
      </c>
      <c r="R3" s="3">
        <f t="shared" ca="1" si="0"/>
        <v>126299.486</v>
      </c>
      <c r="S3" s="3">
        <f t="shared" ca="1" si="0"/>
        <v>126283.742</v>
      </c>
      <c r="T3" s="3">
        <f t="shared" ca="1" si="0"/>
        <v>126307.538</v>
      </c>
      <c r="U3" s="3">
        <f t="shared" ca="1" si="0"/>
        <v>126297.152</v>
      </c>
      <c r="W3" s="3">
        <f t="shared" ref="W3:W10" ca="1" si="3">AVERAGE(L3:U3)</f>
        <v>126290.95830000001</v>
      </c>
      <c r="Y3" s="3">
        <f ca="1">Total!E3</f>
        <v>126021.209</v>
      </c>
      <c r="AB3" s="3">
        <f t="shared" ca="1" si="1"/>
        <v>2.8727227970014976E-3</v>
      </c>
      <c r="AC3" s="3">
        <f t="shared" ca="1" si="1"/>
        <v>2.4183707045692861E-3</v>
      </c>
      <c r="AD3" s="3">
        <f t="shared" ca="1" si="1"/>
        <v>1.9649549624619444E-3</v>
      </c>
      <c r="AE3" s="3">
        <f t="shared" ca="1" si="1"/>
        <v>1.2976625228218197E-3</v>
      </c>
      <c r="AF3" s="3">
        <f t="shared" ca="1" si="1"/>
        <v>1.9221209026807765E-3</v>
      </c>
      <c r="AG3" s="3">
        <f t="shared" ca="1" si="1"/>
        <v>2.1760940255699081E-3</v>
      </c>
      <c r="AH3" s="3">
        <f t="shared" ca="1" si="1"/>
        <v>2.208175926958468E-3</v>
      </c>
      <c r="AI3" s="3">
        <f t="shared" ca="1" si="1"/>
        <v>2.0832445751254123E-3</v>
      </c>
      <c r="AJ3" s="3">
        <f t="shared" ca="1" si="1"/>
        <v>2.2720699338791292E-3</v>
      </c>
      <c r="AK3" s="3">
        <f t="shared" ca="1" si="1"/>
        <v>2.1896552349374722E-3</v>
      </c>
      <c r="AM3" s="3">
        <f t="shared" ref="AM3:AM10" ca="1" si="4">SUM(AB3:AK3)</f>
        <v>2.1405071586005714E-2</v>
      </c>
    </row>
    <row r="4" spans="1:39" x14ac:dyDescent="0.25">
      <c r="A4" s="3" t="s">
        <v>2</v>
      </c>
      <c r="B4" s="3">
        <v>24</v>
      </c>
      <c r="C4" s="3">
        <v>1</v>
      </c>
      <c r="D4" s="3">
        <v>55968.875999999997</v>
      </c>
      <c r="E4" s="3">
        <v>1.238</v>
      </c>
      <c r="F4" s="3">
        <v>164</v>
      </c>
      <c r="H4" s="3" t="s">
        <v>2</v>
      </c>
      <c r="I4" s="3">
        <v>100</v>
      </c>
      <c r="J4" s="3">
        <v>1</v>
      </c>
      <c r="L4" s="3">
        <f t="shared" ca="1" si="2"/>
        <v>1217453.838</v>
      </c>
      <c r="M4" s="3">
        <f t="shared" ca="1" si="0"/>
        <v>1216889.926</v>
      </c>
      <c r="N4" s="3">
        <f t="shared" ca="1" si="0"/>
        <v>1217054.8899999999</v>
      </c>
      <c r="O4" s="3">
        <f t="shared" ca="1" si="0"/>
        <v>1216923.7220000001</v>
      </c>
      <c r="P4" s="3">
        <f t="shared" ca="1" si="0"/>
        <v>1217468.858</v>
      </c>
      <c r="Q4" s="3">
        <f t="shared" ca="1" si="0"/>
        <v>1217091.2250000001</v>
      </c>
      <c r="R4" s="3">
        <f t="shared" ca="1" si="0"/>
        <v>1216924.942</v>
      </c>
      <c r="S4" s="3">
        <f t="shared" ca="1" si="0"/>
        <v>1217215.933</v>
      </c>
      <c r="T4" s="3">
        <f t="shared" ca="1" si="0"/>
        <v>1216744.301</v>
      </c>
      <c r="U4" s="3">
        <f t="shared" ca="1" si="0"/>
        <v>1216960.5660000001</v>
      </c>
      <c r="W4" s="3">
        <f t="shared" ca="1" si="3"/>
        <v>1217072.8201000001</v>
      </c>
      <c r="Y4" s="3">
        <f ca="1">Total!E4</f>
        <v>1216556.6340000001</v>
      </c>
      <c r="AB4" s="3">
        <f t="shared" ca="1" si="1"/>
        <v>7.3749464260445641E-4</v>
      </c>
      <c r="AC4" s="3">
        <f t="shared" ca="1" si="1"/>
        <v>2.7396340678694566E-4</v>
      </c>
      <c r="AD4" s="3">
        <f t="shared" ca="1" si="1"/>
        <v>4.0956251938848847E-4</v>
      </c>
      <c r="AE4" s="3">
        <f t="shared" ca="1" si="1"/>
        <v>3.0174345340012245E-4</v>
      </c>
      <c r="AF4" s="3">
        <f t="shared" ca="1" si="1"/>
        <v>7.4984096465822991E-4</v>
      </c>
      <c r="AG4" s="3">
        <f t="shared" ca="1" si="1"/>
        <v>4.3942960406396901E-4</v>
      </c>
      <c r="AH4" s="3">
        <f t="shared" ca="1" si="1"/>
        <v>3.0274628381991202E-4</v>
      </c>
      <c r="AI4" s="3">
        <f t="shared" ca="1" si="1"/>
        <v>5.4193860078024332E-4</v>
      </c>
      <c r="AJ4" s="3">
        <f t="shared" ca="1" si="1"/>
        <v>1.5426080032366122E-4</v>
      </c>
      <c r="AK4" s="3">
        <f t="shared" ca="1" si="1"/>
        <v>3.3202893207849604E-4</v>
      </c>
      <c r="AM4" s="3">
        <f t="shared" ca="1" si="4"/>
        <v>4.2430092079045242E-3</v>
      </c>
    </row>
    <row r="5" spans="1:39" x14ac:dyDescent="0.25">
      <c r="A5" s="3" t="s">
        <v>2</v>
      </c>
      <c r="B5" s="3">
        <v>24</v>
      </c>
      <c r="C5" s="3">
        <v>1</v>
      </c>
      <c r="D5" s="3">
        <v>56001.495999999999</v>
      </c>
      <c r="E5" s="3">
        <v>1.24</v>
      </c>
      <c r="F5" s="3">
        <v>167</v>
      </c>
      <c r="H5" s="3" t="s">
        <v>1</v>
      </c>
      <c r="I5" s="3">
        <v>30</v>
      </c>
      <c r="J5" s="3">
        <v>1</v>
      </c>
      <c r="L5" s="3">
        <f t="shared" ca="1" si="2"/>
        <v>19974.073</v>
      </c>
      <c r="M5" s="3">
        <f t="shared" ca="1" si="0"/>
        <v>19992.780999999999</v>
      </c>
      <c r="N5" s="3">
        <f t="shared" ca="1" si="0"/>
        <v>19986.138999999999</v>
      </c>
      <c r="O5" s="3">
        <f t="shared" ca="1" si="0"/>
        <v>20004.96</v>
      </c>
      <c r="P5" s="3">
        <f t="shared" ca="1" si="0"/>
        <v>19973.273000000001</v>
      </c>
      <c r="Q5" s="3">
        <f t="shared" ca="1" si="0"/>
        <v>19987.042000000001</v>
      </c>
      <c r="R5" s="3">
        <f t="shared" ca="1" si="0"/>
        <v>20008.409</v>
      </c>
      <c r="S5" s="3">
        <f t="shared" ca="1" si="0"/>
        <v>19988.793000000001</v>
      </c>
      <c r="T5" s="3">
        <f t="shared" ca="1" si="0"/>
        <v>19985.620999999999</v>
      </c>
      <c r="U5" s="3">
        <f t="shared" ca="1" si="0"/>
        <v>20021.491999999998</v>
      </c>
      <c r="W5" s="3">
        <f t="shared" ca="1" si="3"/>
        <v>19992.258300000001</v>
      </c>
      <c r="Y5" s="3">
        <f ca="1">Total!E5</f>
        <v>19969.536</v>
      </c>
      <c r="AB5" s="3">
        <f t="shared" ca="1" si="1"/>
        <v>2.2719606504629161E-4</v>
      </c>
      <c r="AC5" s="3">
        <f t="shared" ca="1" si="1"/>
        <v>1.1640230398943161E-3</v>
      </c>
      <c r="AD5" s="3">
        <f t="shared" ca="1" si="1"/>
        <v>8.3141641348097198E-4</v>
      </c>
      <c r="AE5" s="3">
        <f t="shared" ca="1" si="1"/>
        <v>1.7739020075378351E-3</v>
      </c>
      <c r="AF5" s="3">
        <f t="shared" ca="1" si="1"/>
        <v>1.871350440992214E-4</v>
      </c>
      <c r="AG5" s="3">
        <f t="shared" ca="1" si="1"/>
        <v>8.7663529087512212E-4</v>
      </c>
      <c r="AH5" s="3">
        <f t="shared" ca="1" si="1"/>
        <v>1.9466150840960748E-3</v>
      </c>
      <c r="AI5" s="3">
        <f t="shared" ca="1" si="1"/>
        <v>9.64318850473112E-4</v>
      </c>
      <c r="AJ5" s="3">
        <f t="shared" ca="1" si="1"/>
        <v>8.0547690241771896E-4</v>
      </c>
      <c r="AK5" s="3">
        <f t="shared" ca="1" si="1"/>
        <v>2.6017630054097555E-3</v>
      </c>
      <c r="AM5" s="3">
        <f t="shared" ca="1" si="4"/>
        <v>1.1378481703330421E-2</v>
      </c>
    </row>
    <row r="6" spans="1:39" x14ac:dyDescent="0.25">
      <c r="A6" s="3" t="s">
        <v>2</v>
      </c>
      <c r="B6" s="3">
        <v>24</v>
      </c>
      <c r="C6" s="3">
        <v>1</v>
      </c>
      <c r="D6" s="3">
        <v>55968.917000000001</v>
      </c>
      <c r="E6" s="3">
        <v>1.24</v>
      </c>
      <c r="F6" s="3">
        <v>177</v>
      </c>
      <c r="H6" s="3" t="s">
        <v>1</v>
      </c>
      <c r="I6" s="3">
        <v>50</v>
      </c>
      <c r="J6" s="3">
        <v>1</v>
      </c>
      <c r="L6" s="3">
        <f t="shared" ca="1" si="2"/>
        <v>35297.284</v>
      </c>
      <c r="M6" s="3">
        <f t="shared" ca="1" si="0"/>
        <v>35338.792999999998</v>
      </c>
      <c r="N6" s="3">
        <f t="shared" ca="1" si="0"/>
        <v>35300.213000000003</v>
      </c>
      <c r="O6" s="3">
        <f t="shared" ca="1" si="0"/>
        <v>35314.538</v>
      </c>
      <c r="P6" s="3">
        <f t="shared" ca="1" si="0"/>
        <v>35301.506999999998</v>
      </c>
      <c r="Q6" s="3">
        <f t="shared" ca="1" si="0"/>
        <v>35323.11</v>
      </c>
      <c r="R6" s="3">
        <f t="shared" ca="1" si="0"/>
        <v>35314.521000000001</v>
      </c>
      <c r="S6" s="3">
        <f t="shared" ca="1" si="0"/>
        <v>35313.836000000003</v>
      </c>
      <c r="T6" s="3">
        <f t="shared" ca="1" si="0"/>
        <v>35329.904999999999</v>
      </c>
      <c r="U6" s="3">
        <f t="shared" ca="1" si="0"/>
        <v>35322.269</v>
      </c>
      <c r="W6" s="3">
        <f t="shared" ca="1" si="3"/>
        <v>35315.597599999994</v>
      </c>
      <c r="Y6" s="3">
        <f ca="1">Total!E6</f>
        <v>35277.981</v>
      </c>
      <c r="AB6" s="3">
        <f t="shared" ca="1" si="1"/>
        <v>5.4716850150806208E-4</v>
      </c>
      <c r="AC6" s="3">
        <f t="shared" ca="1" si="1"/>
        <v>1.7237947942655245E-3</v>
      </c>
      <c r="AD6" s="3">
        <f t="shared" ca="1" si="1"/>
        <v>6.3019479487796113E-4</v>
      </c>
      <c r="AE6" s="3">
        <f t="shared" ca="1" si="1"/>
        <v>1.0362554478387156E-3</v>
      </c>
      <c r="AF6" s="3">
        <f t="shared" ca="1" si="1"/>
        <v>6.6687489853792996E-4</v>
      </c>
      <c r="AG6" s="3">
        <f t="shared" ca="1" si="1"/>
        <v>1.2792398748670117E-3</v>
      </c>
      <c r="AH6" s="3">
        <f t="shared" ca="1" si="1"/>
        <v>1.0357735608509135E-3</v>
      </c>
      <c r="AI6" s="3">
        <f t="shared" ca="1" si="1"/>
        <v>1.0163563498717006E-3</v>
      </c>
      <c r="AJ6" s="3">
        <f t="shared" ca="1" si="1"/>
        <v>1.4718529385227309E-3</v>
      </c>
      <c r="AK6" s="3">
        <f t="shared" ca="1" si="1"/>
        <v>1.2554006421172592E-3</v>
      </c>
      <c r="AM6" s="3">
        <f t="shared" ca="1" si="4"/>
        <v>1.066291180325781E-2</v>
      </c>
    </row>
    <row r="7" spans="1:39" x14ac:dyDescent="0.25">
      <c r="A7" s="3" t="s">
        <v>2</v>
      </c>
      <c r="B7" s="3">
        <v>24</v>
      </c>
      <c r="C7" s="3">
        <v>1</v>
      </c>
      <c r="D7" s="3">
        <v>55984.974999999999</v>
      </c>
      <c r="E7" s="3">
        <v>1.24</v>
      </c>
      <c r="F7" s="3">
        <v>164</v>
      </c>
      <c r="H7" s="3" t="s">
        <v>1</v>
      </c>
      <c r="I7" s="3">
        <v>100</v>
      </c>
      <c r="J7" s="3">
        <v>1</v>
      </c>
      <c r="L7" s="3">
        <f t="shared" ca="1" si="2"/>
        <v>63105.012000000002</v>
      </c>
      <c r="M7" s="3">
        <f t="shared" ca="1" si="0"/>
        <v>63126.413</v>
      </c>
      <c r="N7" s="3">
        <f t="shared" ca="1" si="0"/>
        <v>63153.069000000003</v>
      </c>
      <c r="O7" s="3">
        <f t="shared" ca="1" si="0"/>
        <v>63141.03</v>
      </c>
      <c r="P7" s="3">
        <f t="shared" ca="1" si="0"/>
        <v>63217.358</v>
      </c>
      <c r="Q7" s="3">
        <f t="shared" ca="1" si="0"/>
        <v>63125.911</v>
      </c>
      <c r="R7" s="3">
        <f t="shared" ca="1" si="0"/>
        <v>63142.239000000001</v>
      </c>
      <c r="S7" s="3">
        <f t="shared" ca="1" si="0"/>
        <v>63218.906999999999</v>
      </c>
      <c r="T7" s="3">
        <f t="shared" ca="1" si="0"/>
        <v>63081.432999999997</v>
      </c>
      <c r="U7" s="3">
        <f t="shared" ca="1" si="0"/>
        <v>63167.364999999998</v>
      </c>
      <c r="W7" s="3">
        <f t="shared" ca="1" si="3"/>
        <v>63147.873699999996</v>
      </c>
      <c r="Y7" s="3">
        <f ca="1">Total!E7</f>
        <v>63035.512000000002</v>
      </c>
      <c r="AB7" s="3">
        <f t="shared" ca="1" si="1"/>
        <v>1.1025531132355995E-3</v>
      </c>
      <c r="AC7" s="3">
        <f t="shared" ca="1" si="1"/>
        <v>1.4420601517442743E-3</v>
      </c>
      <c r="AD7" s="3">
        <f t="shared" ca="1" si="1"/>
        <v>1.8649328968724913E-3</v>
      </c>
      <c r="AE7" s="3">
        <f t="shared" ca="1" si="1"/>
        <v>1.6739453151423025E-3</v>
      </c>
      <c r="AF7" s="3">
        <f t="shared" ca="1" si="1"/>
        <v>2.8848183227257315E-3</v>
      </c>
      <c r="AG7" s="3">
        <f t="shared" ca="1" si="1"/>
        <v>1.4340963868112566E-3</v>
      </c>
      <c r="AH7" s="3">
        <f t="shared" ca="1" si="1"/>
        <v>1.693124980090571E-3</v>
      </c>
      <c r="AI7" s="3">
        <f t="shared" ca="1" si="1"/>
        <v>2.9093917726883346E-3</v>
      </c>
      <c r="AJ7" s="3">
        <f t="shared" ca="1" si="1"/>
        <v>7.2849412248757205E-4</v>
      </c>
      <c r="AK7" s="3">
        <f t="shared" ca="1" si="1"/>
        <v>2.0917256926539364E-3</v>
      </c>
      <c r="AM7" s="3">
        <f t="shared" ca="1" si="4"/>
        <v>1.7825142754452069E-2</v>
      </c>
    </row>
    <row r="8" spans="1:39" x14ac:dyDescent="0.25">
      <c r="A8" s="3" t="s">
        <v>2</v>
      </c>
      <c r="B8" s="3">
        <v>24</v>
      </c>
      <c r="C8" s="3">
        <v>1</v>
      </c>
      <c r="D8" s="3">
        <v>55972.735999999997</v>
      </c>
      <c r="E8" s="3">
        <v>1.2350000000000001</v>
      </c>
      <c r="F8" s="3">
        <v>178</v>
      </c>
      <c r="H8" s="3" t="s">
        <v>0</v>
      </c>
      <c r="I8" s="3">
        <v>25</v>
      </c>
      <c r="J8" s="3">
        <v>1</v>
      </c>
      <c r="L8" s="3">
        <f t="shared" ca="1" si="2"/>
        <v>723.57299999999998</v>
      </c>
      <c r="M8" s="3">
        <f t="shared" ca="1" si="0"/>
        <v>723.56200000000001</v>
      </c>
      <c r="N8" s="3">
        <f t="shared" ca="1" si="0"/>
        <v>723.89800000000002</v>
      </c>
      <c r="O8" s="3">
        <f t="shared" ca="1" si="0"/>
        <v>723.05200000000002</v>
      </c>
      <c r="P8" s="3">
        <f t="shared" ca="1" si="0"/>
        <v>723.81500000000005</v>
      </c>
      <c r="Q8" s="3">
        <f t="shared" ca="1" si="0"/>
        <v>723.5</v>
      </c>
      <c r="R8" s="3">
        <f t="shared" ca="1" si="0"/>
        <v>723.43100000000004</v>
      </c>
      <c r="S8" s="3">
        <f t="shared" ca="1" si="0"/>
        <v>723.22699999999998</v>
      </c>
      <c r="T8" s="3">
        <f t="shared" ca="1" si="0"/>
        <v>723.81</v>
      </c>
      <c r="U8" s="3">
        <f t="shared" ca="1" si="0"/>
        <v>723.81200000000001</v>
      </c>
      <c r="W8" s="3">
        <f t="shared" ca="1" si="3"/>
        <v>723.56799999999998</v>
      </c>
      <c r="Y8" s="3">
        <f ca="1">Total!E8</f>
        <v>722.92</v>
      </c>
      <c r="AB8" s="3">
        <f t="shared" ca="1" si="1"/>
        <v>9.0328113760861518E-4</v>
      </c>
      <c r="AC8" s="3">
        <f t="shared" ca="1" si="1"/>
        <v>8.8806506944067505E-4</v>
      </c>
      <c r="AD8" s="3">
        <f t="shared" ca="1" si="1"/>
        <v>1.3528467880264284E-3</v>
      </c>
      <c r="AE8" s="3">
        <f t="shared" ca="1" si="1"/>
        <v>1.8259281801591027E-4</v>
      </c>
      <c r="AF8" s="3">
        <f t="shared" ca="1" si="1"/>
        <v>1.2380346373043981E-3</v>
      </c>
      <c r="AG8" s="3">
        <f t="shared" ca="1" si="1"/>
        <v>8.0230177613019554E-4</v>
      </c>
      <c r="AH8" s="3">
        <f t="shared" ca="1" si="1"/>
        <v>7.0685553034925165E-4</v>
      </c>
      <c r="AI8" s="3">
        <f t="shared" ca="1" si="1"/>
        <v>4.2466662977925135E-4</v>
      </c>
      <c r="AJ8" s="3">
        <f t="shared" ca="1" si="1"/>
        <v>1.2311182426824358E-3</v>
      </c>
      <c r="AK8" s="3">
        <f t="shared" ca="1" si="1"/>
        <v>1.2338848005312522E-3</v>
      </c>
      <c r="AM8" s="3">
        <f t="shared" ca="1" si="4"/>
        <v>8.9636474298684134E-3</v>
      </c>
    </row>
    <row r="9" spans="1:39" x14ac:dyDescent="0.25">
      <c r="A9" s="3" t="s">
        <v>2</v>
      </c>
      <c r="B9" s="3">
        <v>24</v>
      </c>
      <c r="C9" s="3">
        <v>1</v>
      </c>
      <c r="D9" s="3">
        <v>55994.398000000001</v>
      </c>
      <c r="E9" s="3">
        <v>1.2390000000000001</v>
      </c>
      <c r="F9" s="3">
        <v>176</v>
      </c>
      <c r="H9" s="3" t="s">
        <v>0</v>
      </c>
      <c r="I9" s="3">
        <v>50</v>
      </c>
      <c r="J9" s="3">
        <v>1</v>
      </c>
      <c r="L9" s="3">
        <f t="shared" ca="1" si="2"/>
        <v>1572.3440000000001</v>
      </c>
      <c r="M9" s="3">
        <f t="shared" ca="1" si="0"/>
        <v>1571.296</v>
      </c>
      <c r="N9" s="3">
        <f t="shared" ca="1" si="0"/>
        <v>1572.0350000000001</v>
      </c>
      <c r="O9" s="3">
        <f t="shared" ca="1" si="0"/>
        <v>1571.068</v>
      </c>
      <c r="P9" s="3">
        <f t="shared" ca="1" si="0"/>
        <v>1571.5139999999999</v>
      </c>
      <c r="Q9" s="3">
        <f t="shared" ca="1" si="0"/>
        <v>1571.7</v>
      </c>
      <c r="R9" s="3">
        <f t="shared" ca="1" si="0"/>
        <v>1573.817</v>
      </c>
      <c r="S9" s="3">
        <f t="shared" ca="1" si="0"/>
        <v>1570.9680000000001</v>
      </c>
      <c r="T9" s="3">
        <f t="shared" ca="1" si="0"/>
        <v>1571.6759999999999</v>
      </c>
      <c r="U9" s="3">
        <f t="shared" ca="1" si="0"/>
        <v>1571.184</v>
      </c>
      <c r="W9" s="3">
        <f t="shared" ca="1" si="3"/>
        <v>1571.7602000000002</v>
      </c>
      <c r="Y9" s="3">
        <f ca="1">Total!E9</f>
        <v>1570.17</v>
      </c>
      <c r="AB9" s="3">
        <f t="shared" ca="1" si="1"/>
        <v>1.3845634549125114E-3</v>
      </c>
      <c r="AC9" s="3">
        <f t="shared" ca="1" si="1"/>
        <v>7.1711980231438399E-4</v>
      </c>
      <c r="AD9" s="3">
        <f t="shared" ca="1" si="1"/>
        <v>1.1877694771903736E-3</v>
      </c>
      <c r="AE9" s="3">
        <f t="shared" ca="1" si="1"/>
        <v>5.7191259545139115E-4</v>
      </c>
      <c r="AF9" s="3">
        <f t="shared" ca="1" si="1"/>
        <v>8.5595827203412589E-4</v>
      </c>
      <c r="AG9" s="3">
        <f t="shared" ca="1" si="1"/>
        <v>9.7441678289610209E-4</v>
      </c>
      <c r="AH9" s="3">
        <f t="shared" ca="1" si="1"/>
        <v>2.3226784360928653E-3</v>
      </c>
      <c r="AI9" s="3">
        <f t="shared" ca="1" si="1"/>
        <v>5.0822522402033013E-4</v>
      </c>
      <c r="AJ9" s="3">
        <f t="shared" ca="1" si="1"/>
        <v>9.5913181375256056E-4</v>
      </c>
      <c r="AK9" s="3">
        <f t="shared" ca="1" si="1"/>
        <v>6.4578994631147983E-4</v>
      </c>
      <c r="AM9" s="3">
        <f t="shared" ca="1" si="4"/>
        <v>1.0127565804976122E-2</v>
      </c>
    </row>
    <row r="10" spans="1:39" x14ac:dyDescent="0.25">
      <c r="A10" s="3" t="s">
        <v>2</v>
      </c>
      <c r="B10" s="3">
        <v>24</v>
      </c>
      <c r="C10" s="3">
        <v>1</v>
      </c>
      <c r="D10" s="3">
        <v>55952.118000000002</v>
      </c>
      <c r="E10" s="3">
        <v>1.236</v>
      </c>
      <c r="F10" s="3">
        <v>163</v>
      </c>
      <c r="H10" s="3" t="s">
        <v>28</v>
      </c>
      <c r="I10" s="3">
        <v>100</v>
      </c>
      <c r="J10" s="3">
        <v>1</v>
      </c>
      <c r="L10" s="3">
        <f t="shared" ca="1" si="2"/>
        <v>3308.6840000000002</v>
      </c>
      <c r="M10" s="3">
        <f t="shared" ca="1" si="0"/>
        <v>3326.7579999999998</v>
      </c>
      <c r="N10" s="3">
        <f t="shared" ca="1" si="0"/>
        <v>3323.7040000000002</v>
      </c>
      <c r="O10" s="3">
        <f t="shared" ca="1" si="0"/>
        <v>3306.7249999999999</v>
      </c>
      <c r="P10" s="3">
        <f t="shared" ca="1" si="0"/>
        <v>3338.576</v>
      </c>
      <c r="Q10" s="3">
        <f t="shared" ca="1" si="0"/>
        <v>3322.248</v>
      </c>
      <c r="R10" s="3">
        <f t="shared" ca="1" si="0"/>
        <v>3316.9140000000002</v>
      </c>
      <c r="S10" s="3">
        <f t="shared" ca="1" si="0"/>
        <v>3338.2649999999999</v>
      </c>
      <c r="T10" s="3">
        <f t="shared" ca="1" si="0"/>
        <v>3316.3809999999999</v>
      </c>
      <c r="U10" s="3">
        <f t="shared" ca="1" si="0"/>
        <v>3332.6019999999999</v>
      </c>
      <c r="W10" s="3">
        <f t="shared" ca="1" si="3"/>
        <v>3323.0857000000005</v>
      </c>
      <c r="Y10" s="3">
        <f ca="1">Total!E10</f>
        <v>3290.5340000000001</v>
      </c>
      <c r="AB10" s="3">
        <f t="shared" ca="1" si="1"/>
        <v>5.5158220519830794E-3</v>
      </c>
      <c r="AC10" s="3">
        <f t="shared" ca="1" si="1"/>
        <v>1.1008547548817214E-2</v>
      </c>
      <c r="AD10" s="3">
        <f t="shared" ca="1" si="1"/>
        <v>1.0080430714285302E-2</v>
      </c>
      <c r="AE10" s="3">
        <f t="shared" ca="1" si="1"/>
        <v>4.9204779528185406E-3</v>
      </c>
      <c r="AF10" s="3">
        <f t="shared" ca="1" si="1"/>
        <v>1.460006187445561E-2</v>
      </c>
      <c r="AG10" s="3">
        <f t="shared" ca="1" si="1"/>
        <v>9.6379493419608917E-3</v>
      </c>
      <c r="AH10" s="3">
        <f t="shared" ca="1" si="1"/>
        <v>8.0169358529649324E-3</v>
      </c>
      <c r="AI10" s="3">
        <f t="shared" ca="1" si="1"/>
        <v>1.4505548339570346E-2</v>
      </c>
      <c r="AJ10" s="3">
        <f t="shared" ca="1" si="1"/>
        <v>7.8549560648817941E-3</v>
      </c>
      <c r="AK10" s="3">
        <f t="shared" ca="1" si="1"/>
        <v>1.2784551078943343E-2</v>
      </c>
      <c r="AM10" s="3">
        <f t="shared" ca="1" si="4"/>
        <v>9.8925280820681055E-2</v>
      </c>
    </row>
    <row r="11" spans="1:39" x14ac:dyDescent="0.25">
      <c r="A11" s="3" t="s">
        <v>2</v>
      </c>
      <c r="B11" s="3">
        <v>47</v>
      </c>
      <c r="C11" s="3">
        <v>1</v>
      </c>
      <c r="D11" s="3">
        <v>126383.23299999999</v>
      </c>
      <c r="E11" s="3">
        <v>4.1420000000000003</v>
      </c>
      <c r="F11" s="3">
        <v>154</v>
      </c>
    </row>
    <row r="12" spans="1:39" x14ac:dyDescent="0.25">
      <c r="A12" s="3" t="s">
        <v>2</v>
      </c>
      <c r="B12" s="3">
        <v>47</v>
      </c>
      <c r="C12" s="3">
        <v>1</v>
      </c>
      <c r="D12" s="3">
        <v>126325.97500000001</v>
      </c>
      <c r="E12" s="3">
        <v>4.1500000000000004</v>
      </c>
      <c r="F12" s="3">
        <v>154</v>
      </c>
    </row>
    <row r="13" spans="1:39" x14ac:dyDescent="0.25">
      <c r="A13" s="3" t="s">
        <v>2</v>
      </c>
      <c r="B13" s="3">
        <v>47</v>
      </c>
      <c r="C13" s="3">
        <v>1</v>
      </c>
      <c r="D13" s="3">
        <v>126268.83500000001</v>
      </c>
      <c r="E13" s="3">
        <v>4.1589999999999998</v>
      </c>
      <c r="F13" s="3">
        <v>150</v>
      </c>
    </row>
    <row r="14" spans="1:39" x14ac:dyDescent="0.25">
      <c r="A14" s="3" t="s">
        <v>2</v>
      </c>
      <c r="B14" s="3">
        <v>47</v>
      </c>
      <c r="C14" s="3">
        <v>1</v>
      </c>
      <c r="D14" s="3">
        <v>126184.742</v>
      </c>
      <c r="E14" s="3">
        <v>4.1580000000000004</v>
      </c>
      <c r="F14" s="3">
        <v>160</v>
      </c>
    </row>
    <row r="15" spans="1:39" x14ac:dyDescent="0.25">
      <c r="A15" s="3" t="s">
        <v>2</v>
      </c>
      <c r="B15" s="3">
        <v>47</v>
      </c>
      <c r="C15" s="3">
        <v>1</v>
      </c>
      <c r="D15" s="3">
        <v>126263.43700000001</v>
      </c>
      <c r="E15" s="3">
        <v>4.1520000000000001</v>
      </c>
      <c r="F15" s="3">
        <v>156</v>
      </c>
    </row>
    <row r="16" spans="1:39" x14ac:dyDescent="0.25">
      <c r="A16" s="3" t="s">
        <v>2</v>
      </c>
      <c r="B16" s="3">
        <v>47</v>
      </c>
      <c r="C16" s="3">
        <v>1</v>
      </c>
      <c r="D16" s="3">
        <v>126295.443</v>
      </c>
      <c r="E16" s="3">
        <v>4.1509999999999998</v>
      </c>
      <c r="F16" s="3">
        <v>152</v>
      </c>
    </row>
    <row r="17" spans="1:6" x14ac:dyDescent="0.25">
      <c r="A17" s="3" t="s">
        <v>2</v>
      </c>
      <c r="B17" s="3">
        <v>47</v>
      </c>
      <c r="C17" s="3">
        <v>1</v>
      </c>
      <c r="D17" s="3">
        <v>126299.486</v>
      </c>
      <c r="E17" s="3">
        <v>4.1399999999999997</v>
      </c>
      <c r="F17" s="3">
        <v>150</v>
      </c>
    </row>
    <row r="18" spans="1:6" x14ac:dyDescent="0.25">
      <c r="A18" s="3" t="s">
        <v>2</v>
      </c>
      <c r="B18" s="3">
        <v>47</v>
      </c>
      <c r="C18" s="3">
        <v>1</v>
      </c>
      <c r="D18" s="3">
        <v>126283.742</v>
      </c>
      <c r="E18" s="3">
        <v>4.1539999999999999</v>
      </c>
      <c r="F18" s="3">
        <v>152</v>
      </c>
    </row>
    <row r="19" spans="1:6" x14ac:dyDescent="0.25">
      <c r="A19" s="3" t="s">
        <v>2</v>
      </c>
      <c r="B19" s="3">
        <v>47</v>
      </c>
      <c r="C19" s="3">
        <v>1</v>
      </c>
      <c r="D19" s="3">
        <v>126307.538</v>
      </c>
      <c r="E19" s="3">
        <v>4.1580000000000004</v>
      </c>
      <c r="F19" s="3">
        <v>149</v>
      </c>
    </row>
    <row r="20" spans="1:6" x14ac:dyDescent="0.25">
      <c r="A20" s="3" t="s">
        <v>2</v>
      </c>
      <c r="B20" s="3">
        <v>47</v>
      </c>
      <c r="C20" s="3">
        <v>1</v>
      </c>
      <c r="D20" s="3">
        <v>126297.152</v>
      </c>
      <c r="E20" s="3">
        <v>4.1399999999999997</v>
      </c>
      <c r="F20" s="3">
        <v>156</v>
      </c>
    </row>
    <row r="21" spans="1:6" x14ac:dyDescent="0.25">
      <c r="A21" s="3" t="s">
        <v>2</v>
      </c>
      <c r="B21" s="3">
        <v>100</v>
      </c>
      <c r="C21" s="3">
        <v>1</v>
      </c>
      <c r="D21" s="3">
        <v>1217453.838</v>
      </c>
      <c r="E21" s="3">
        <v>22.097999999999999</v>
      </c>
      <c r="F21" s="3">
        <v>166</v>
      </c>
    </row>
    <row r="22" spans="1:6" x14ac:dyDescent="0.25">
      <c r="A22" s="3" t="s">
        <v>2</v>
      </c>
      <c r="B22" s="3">
        <v>100</v>
      </c>
      <c r="C22" s="3">
        <v>1</v>
      </c>
      <c r="D22" s="3">
        <v>1216889.926</v>
      </c>
      <c r="E22" s="3">
        <v>22.097000000000001</v>
      </c>
      <c r="F22" s="3">
        <v>162</v>
      </c>
    </row>
    <row r="23" spans="1:6" x14ac:dyDescent="0.25">
      <c r="A23" s="3" t="s">
        <v>2</v>
      </c>
      <c r="B23" s="3">
        <v>100</v>
      </c>
      <c r="C23" s="3">
        <v>1</v>
      </c>
      <c r="D23" s="3">
        <v>1217054.8899999999</v>
      </c>
      <c r="E23" s="3">
        <v>22.103000000000002</v>
      </c>
      <c r="F23" s="3">
        <v>161</v>
      </c>
    </row>
    <row r="24" spans="1:6" x14ac:dyDescent="0.25">
      <c r="A24" s="3" t="s">
        <v>2</v>
      </c>
      <c r="B24" s="3">
        <v>100</v>
      </c>
      <c r="C24" s="3">
        <v>1</v>
      </c>
      <c r="D24" s="3">
        <v>1216923.7220000001</v>
      </c>
      <c r="E24" s="3">
        <v>22.085000000000001</v>
      </c>
      <c r="F24" s="3">
        <v>163</v>
      </c>
    </row>
    <row r="25" spans="1:6" x14ac:dyDescent="0.25">
      <c r="A25" s="3" t="s">
        <v>2</v>
      </c>
      <c r="B25" s="3">
        <v>100</v>
      </c>
      <c r="C25" s="3">
        <v>1</v>
      </c>
      <c r="D25" s="3">
        <v>1217468.858</v>
      </c>
      <c r="E25" s="3">
        <v>22.141999999999999</v>
      </c>
      <c r="F25" s="3">
        <v>162</v>
      </c>
    </row>
    <row r="26" spans="1:6" x14ac:dyDescent="0.25">
      <c r="A26" s="3" t="s">
        <v>2</v>
      </c>
      <c r="B26" s="3">
        <v>100</v>
      </c>
      <c r="C26" s="3">
        <v>1</v>
      </c>
      <c r="D26" s="3">
        <v>1217091.2250000001</v>
      </c>
      <c r="E26" s="3">
        <v>22.140999999999998</v>
      </c>
      <c r="F26" s="3">
        <v>162</v>
      </c>
    </row>
    <row r="27" spans="1:6" x14ac:dyDescent="0.25">
      <c r="A27" s="3" t="s">
        <v>2</v>
      </c>
      <c r="B27" s="3">
        <v>100</v>
      </c>
      <c r="C27" s="3">
        <v>1</v>
      </c>
      <c r="D27" s="3">
        <v>1216924.942</v>
      </c>
      <c r="E27" s="3">
        <v>22.116</v>
      </c>
      <c r="F27" s="3">
        <v>167</v>
      </c>
    </row>
    <row r="28" spans="1:6" x14ac:dyDescent="0.25">
      <c r="A28" s="3" t="s">
        <v>2</v>
      </c>
      <c r="B28" s="3">
        <v>100</v>
      </c>
      <c r="C28" s="3">
        <v>1</v>
      </c>
      <c r="D28" s="3">
        <v>1217215.933</v>
      </c>
      <c r="E28" s="3">
        <v>22.140999999999998</v>
      </c>
      <c r="F28" s="3">
        <v>159</v>
      </c>
    </row>
    <row r="29" spans="1:6" x14ac:dyDescent="0.25">
      <c r="A29" s="3" t="s">
        <v>2</v>
      </c>
      <c r="B29" s="3">
        <v>100</v>
      </c>
      <c r="C29" s="3">
        <v>1</v>
      </c>
      <c r="D29" s="3">
        <v>1216744.301</v>
      </c>
      <c r="E29" s="3">
        <v>22.158999999999999</v>
      </c>
      <c r="F29" s="3">
        <v>161</v>
      </c>
    </row>
    <row r="30" spans="1:6" x14ac:dyDescent="0.25">
      <c r="A30" s="3" t="s">
        <v>2</v>
      </c>
      <c r="B30" s="3">
        <v>100</v>
      </c>
      <c r="C30" s="3">
        <v>1</v>
      </c>
      <c r="D30" s="3">
        <v>1216960.5660000001</v>
      </c>
      <c r="E30" s="3">
        <v>22.068000000000001</v>
      </c>
      <c r="F30" s="3">
        <v>159</v>
      </c>
    </row>
    <row r="31" spans="1:6" x14ac:dyDescent="0.25">
      <c r="A31" s="3" t="s">
        <v>1</v>
      </c>
      <c r="B31" s="3">
        <v>30</v>
      </c>
      <c r="C31" s="3">
        <v>1</v>
      </c>
      <c r="D31" s="3">
        <v>19974.073</v>
      </c>
      <c r="E31" s="3">
        <v>1.3540000000000001</v>
      </c>
      <c r="F31" s="3">
        <v>109</v>
      </c>
    </row>
    <row r="32" spans="1:6" x14ac:dyDescent="0.25">
      <c r="A32" s="3" t="s">
        <v>1</v>
      </c>
      <c r="B32" s="3">
        <v>30</v>
      </c>
      <c r="C32" s="3">
        <v>1</v>
      </c>
      <c r="D32" s="3">
        <v>19992.780999999999</v>
      </c>
      <c r="E32" s="3">
        <v>1.349</v>
      </c>
      <c r="F32" s="3">
        <v>114</v>
      </c>
    </row>
    <row r="33" spans="1:6" x14ac:dyDescent="0.25">
      <c r="A33" s="3" t="s">
        <v>1</v>
      </c>
      <c r="B33" s="3">
        <v>30</v>
      </c>
      <c r="C33" s="3">
        <v>1</v>
      </c>
      <c r="D33" s="3">
        <v>19986.138999999999</v>
      </c>
      <c r="E33" s="3">
        <v>1.379</v>
      </c>
      <c r="F33" s="3">
        <v>118</v>
      </c>
    </row>
    <row r="34" spans="1:6" x14ac:dyDescent="0.25">
      <c r="A34" s="3" t="s">
        <v>1</v>
      </c>
      <c r="B34" s="3">
        <v>30</v>
      </c>
      <c r="C34" s="3">
        <v>1</v>
      </c>
      <c r="D34" s="3">
        <v>20004.96</v>
      </c>
      <c r="E34" s="3">
        <v>1.353</v>
      </c>
      <c r="F34" s="3">
        <v>117</v>
      </c>
    </row>
    <row r="35" spans="1:6" x14ac:dyDescent="0.25">
      <c r="A35" s="3" t="s">
        <v>1</v>
      </c>
      <c r="B35" s="3">
        <v>30</v>
      </c>
      <c r="C35" s="3">
        <v>1</v>
      </c>
      <c r="D35" s="3">
        <v>19973.273000000001</v>
      </c>
      <c r="E35" s="3">
        <v>1.347</v>
      </c>
      <c r="F35" s="3">
        <v>106</v>
      </c>
    </row>
    <row r="36" spans="1:6" x14ac:dyDescent="0.25">
      <c r="A36" s="3" t="s">
        <v>1</v>
      </c>
      <c r="B36" s="3">
        <v>30</v>
      </c>
      <c r="C36" s="3">
        <v>1</v>
      </c>
      <c r="D36" s="3">
        <v>19987.042000000001</v>
      </c>
      <c r="E36" s="3">
        <v>1.347</v>
      </c>
      <c r="F36" s="3">
        <v>110</v>
      </c>
    </row>
    <row r="37" spans="1:6" x14ac:dyDescent="0.25">
      <c r="A37" s="3" t="s">
        <v>1</v>
      </c>
      <c r="B37" s="3">
        <v>30</v>
      </c>
      <c r="C37" s="3">
        <v>1</v>
      </c>
      <c r="D37" s="3">
        <v>20008.409</v>
      </c>
      <c r="E37" s="3">
        <v>1.351</v>
      </c>
      <c r="F37" s="3">
        <v>119</v>
      </c>
    </row>
    <row r="38" spans="1:6" x14ac:dyDescent="0.25">
      <c r="A38" s="3" t="s">
        <v>1</v>
      </c>
      <c r="B38" s="3">
        <v>30</v>
      </c>
      <c r="C38" s="3">
        <v>1</v>
      </c>
      <c r="D38" s="3">
        <v>19988.793000000001</v>
      </c>
      <c r="E38" s="3">
        <v>1.35</v>
      </c>
      <c r="F38" s="3">
        <v>113</v>
      </c>
    </row>
    <row r="39" spans="1:6" x14ac:dyDescent="0.25">
      <c r="A39" s="3" t="s">
        <v>1</v>
      </c>
      <c r="B39" s="3">
        <v>30</v>
      </c>
      <c r="C39" s="3">
        <v>1</v>
      </c>
      <c r="D39" s="3">
        <v>19985.620999999999</v>
      </c>
      <c r="E39" s="3">
        <v>1.3480000000000001</v>
      </c>
      <c r="F39" s="3">
        <v>106</v>
      </c>
    </row>
    <row r="40" spans="1:6" x14ac:dyDescent="0.25">
      <c r="A40" s="3" t="s">
        <v>1</v>
      </c>
      <c r="B40" s="3">
        <v>30</v>
      </c>
      <c r="C40" s="3">
        <v>1</v>
      </c>
      <c r="D40" s="3">
        <v>20021.491999999998</v>
      </c>
      <c r="E40" s="3">
        <v>1.347</v>
      </c>
      <c r="F40" s="3">
        <v>119</v>
      </c>
    </row>
    <row r="41" spans="1:6" x14ac:dyDescent="0.25">
      <c r="A41" s="3" t="s">
        <v>1</v>
      </c>
      <c r="B41" s="3">
        <v>50</v>
      </c>
      <c r="C41" s="3">
        <v>1</v>
      </c>
      <c r="D41" s="3">
        <v>35297.284</v>
      </c>
      <c r="E41" s="3">
        <v>3.0430000000000001</v>
      </c>
      <c r="F41" s="3">
        <v>88</v>
      </c>
    </row>
    <row r="42" spans="1:6" x14ac:dyDescent="0.25">
      <c r="A42" s="3" t="s">
        <v>1</v>
      </c>
      <c r="B42" s="3">
        <v>50</v>
      </c>
      <c r="C42" s="3">
        <v>1</v>
      </c>
      <c r="D42" s="3">
        <v>35338.792999999998</v>
      </c>
      <c r="E42" s="3">
        <v>3.036</v>
      </c>
      <c r="F42" s="3">
        <v>91</v>
      </c>
    </row>
    <row r="43" spans="1:6" x14ac:dyDescent="0.25">
      <c r="A43" s="3" t="s">
        <v>1</v>
      </c>
      <c r="B43" s="3">
        <v>50</v>
      </c>
      <c r="C43" s="3">
        <v>1</v>
      </c>
      <c r="D43" s="3">
        <v>35300.213000000003</v>
      </c>
      <c r="E43" s="3">
        <v>3.0459999999999998</v>
      </c>
      <c r="F43" s="3">
        <v>96</v>
      </c>
    </row>
    <row r="44" spans="1:6" x14ac:dyDescent="0.25">
      <c r="A44" s="3" t="s">
        <v>1</v>
      </c>
      <c r="B44" s="3">
        <v>50</v>
      </c>
      <c r="C44" s="3">
        <v>1</v>
      </c>
      <c r="D44" s="3">
        <v>35314.538</v>
      </c>
      <c r="E44" s="3">
        <v>3.0459999999999998</v>
      </c>
      <c r="F44" s="3">
        <v>89</v>
      </c>
    </row>
    <row r="45" spans="1:6" x14ac:dyDescent="0.25">
      <c r="A45" s="3" t="s">
        <v>1</v>
      </c>
      <c r="B45" s="3">
        <v>50</v>
      </c>
      <c r="C45" s="3">
        <v>1</v>
      </c>
      <c r="D45" s="3">
        <v>35301.506999999998</v>
      </c>
      <c r="E45" s="3">
        <v>3.036</v>
      </c>
      <c r="F45" s="3">
        <v>96</v>
      </c>
    </row>
    <row r="46" spans="1:6" x14ac:dyDescent="0.25">
      <c r="A46" s="3" t="s">
        <v>1</v>
      </c>
      <c r="B46" s="3">
        <v>50</v>
      </c>
      <c r="C46" s="3">
        <v>1</v>
      </c>
      <c r="D46" s="3">
        <v>35323.11</v>
      </c>
      <c r="E46" s="3">
        <v>3.0390000000000001</v>
      </c>
      <c r="F46" s="3">
        <v>94</v>
      </c>
    </row>
    <row r="47" spans="1:6" x14ac:dyDescent="0.25">
      <c r="A47" s="3" t="s">
        <v>1</v>
      </c>
      <c r="B47" s="3">
        <v>50</v>
      </c>
      <c r="C47" s="3">
        <v>1</v>
      </c>
      <c r="D47" s="3">
        <v>35314.521000000001</v>
      </c>
      <c r="E47" s="3">
        <v>3.0470000000000002</v>
      </c>
      <c r="F47" s="3">
        <v>95</v>
      </c>
    </row>
    <row r="48" spans="1:6" x14ac:dyDescent="0.25">
      <c r="A48" s="3" t="s">
        <v>1</v>
      </c>
      <c r="B48" s="3">
        <v>50</v>
      </c>
      <c r="C48" s="3">
        <v>1</v>
      </c>
      <c r="D48" s="3">
        <v>35313.836000000003</v>
      </c>
      <c r="E48" s="3">
        <v>3.0449999999999999</v>
      </c>
      <c r="F48" s="3">
        <v>93</v>
      </c>
    </row>
    <row r="49" spans="1:6" x14ac:dyDescent="0.25">
      <c r="A49" s="3" t="s">
        <v>1</v>
      </c>
      <c r="B49" s="3">
        <v>50</v>
      </c>
      <c r="C49" s="3">
        <v>1</v>
      </c>
      <c r="D49" s="3">
        <v>35329.904999999999</v>
      </c>
      <c r="E49" s="3">
        <v>3.0369999999999999</v>
      </c>
      <c r="F49" s="3">
        <v>91</v>
      </c>
    </row>
    <row r="50" spans="1:6" x14ac:dyDescent="0.25">
      <c r="A50" s="3" t="s">
        <v>1</v>
      </c>
      <c r="B50" s="3">
        <v>50</v>
      </c>
      <c r="C50" s="3">
        <v>1</v>
      </c>
      <c r="D50" s="3">
        <v>35322.269</v>
      </c>
      <c r="E50" s="3">
        <v>3.0409999999999999</v>
      </c>
      <c r="F50" s="3">
        <v>95</v>
      </c>
    </row>
    <row r="51" spans="1:6" x14ac:dyDescent="0.25">
      <c r="A51" s="3" t="s">
        <v>1</v>
      </c>
      <c r="B51" s="3">
        <v>100</v>
      </c>
      <c r="C51" s="3">
        <v>1</v>
      </c>
      <c r="D51" s="3">
        <v>63105.012000000002</v>
      </c>
      <c r="E51" s="3">
        <v>11.77</v>
      </c>
      <c r="F51" s="3">
        <v>87</v>
      </c>
    </row>
    <row r="52" spans="1:6" x14ac:dyDescent="0.25">
      <c r="A52" s="3" t="s">
        <v>1</v>
      </c>
      <c r="B52" s="3">
        <v>100</v>
      </c>
      <c r="C52" s="3">
        <v>1</v>
      </c>
      <c r="D52" s="3">
        <v>63126.413</v>
      </c>
      <c r="E52" s="3">
        <v>11.742000000000001</v>
      </c>
      <c r="F52" s="3">
        <v>88</v>
      </c>
    </row>
    <row r="53" spans="1:6" x14ac:dyDescent="0.25">
      <c r="A53" s="3" t="s">
        <v>1</v>
      </c>
      <c r="B53" s="3">
        <v>100</v>
      </c>
      <c r="C53" s="3">
        <v>1</v>
      </c>
      <c r="D53" s="3">
        <v>63153.069000000003</v>
      </c>
      <c r="E53" s="3">
        <v>11.711</v>
      </c>
      <c r="F53" s="3">
        <v>87</v>
      </c>
    </row>
    <row r="54" spans="1:6" x14ac:dyDescent="0.25">
      <c r="A54" s="3" t="s">
        <v>1</v>
      </c>
      <c r="B54" s="3">
        <v>100</v>
      </c>
      <c r="C54" s="3">
        <v>1</v>
      </c>
      <c r="D54" s="3">
        <v>63141.03</v>
      </c>
      <c r="E54" s="3">
        <v>11.702</v>
      </c>
      <c r="F54" s="3">
        <v>87</v>
      </c>
    </row>
    <row r="55" spans="1:6" x14ac:dyDescent="0.25">
      <c r="A55" s="3" t="s">
        <v>1</v>
      </c>
      <c r="B55" s="3">
        <v>100</v>
      </c>
      <c r="C55" s="3">
        <v>1</v>
      </c>
      <c r="D55" s="3">
        <v>63217.358</v>
      </c>
      <c r="E55" s="3">
        <v>11.742000000000001</v>
      </c>
      <c r="F55" s="3">
        <v>88</v>
      </c>
    </row>
    <row r="56" spans="1:6" x14ac:dyDescent="0.25">
      <c r="A56" s="3" t="s">
        <v>1</v>
      </c>
      <c r="B56" s="3">
        <v>100</v>
      </c>
      <c r="C56" s="3">
        <v>1</v>
      </c>
      <c r="D56" s="3">
        <v>63125.911</v>
      </c>
      <c r="E56" s="3">
        <v>11.747</v>
      </c>
      <c r="F56" s="3">
        <v>87</v>
      </c>
    </row>
    <row r="57" spans="1:6" x14ac:dyDescent="0.25">
      <c r="A57" s="3" t="s">
        <v>1</v>
      </c>
      <c r="B57" s="3">
        <v>100</v>
      </c>
      <c r="C57" s="3">
        <v>1</v>
      </c>
      <c r="D57" s="3">
        <v>63142.239000000001</v>
      </c>
      <c r="E57" s="3">
        <v>11.707000000000001</v>
      </c>
      <c r="F57" s="3">
        <v>88</v>
      </c>
    </row>
    <row r="58" spans="1:6" x14ac:dyDescent="0.25">
      <c r="A58" s="3" t="s">
        <v>1</v>
      </c>
      <c r="B58" s="3">
        <v>100</v>
      </c>
      <c r="C58" s="3">
        <v>1</v>
      </c>
      <c r="D58" s="3">
        <v>63218.906999999999</v>
      </c>
      <c r="E58" s="3">
        <v>11.686999999999999</v>
      </c>
      <c r="F58" s="3">
        <v>87</v>
      </c>
    </row>
    <row r="59" spans="1:6" x14ac:dyDescent="0.25">
      <c r="A59" s="3" t="s">
        <v>1</v>
      </c>
      <c r="B59" s="3">
        <v>100</v>
      </c>
      <c r="C59" s="3">
        <v>1</v>
      </c>
      <c r="D59" s="3">
        <v>63081.432999999997</v>
      </c>
      <c r="E59" s="3">
        <v>11.736000000000001</v>
      </c>
      <c r="F59" s="3">
        <v>89</v>
      </c>
    </row>
    <row r="60" spans="1:6" x14ac:dyDescent="0.25">
      <c r="A60" s="3" t="s">
        <v>1</v>
      </c>
      <c r="B60" s="3">
        <v>100</v>
      </c>
      <c r="C60" s="3">
        <v>1</v>
      </c>
      <c r="D60" s="3">
        <v>63167.364999999998</v>
      </c>
      <c r="E60" s="3">
        <v>11.698</v>
      </c>
      <c r="F60" s="3">
        <v>88</v>
      </c>
    </row>
    <row r="61" spans="1:6" x14ac:dyDescent="0.25">
      <c r="A61" s="3" t="s">
        <v>0</v>
      </c>
      <c r="B61" s="3">
        <v>25</v>
      </c>
      <c r="C61" s="3">
        <v>1</v>
      </c>
      <c r="D61" s="3">
        <v>723.57299999999998</v>
      </c>
      <c r="E61" s="3">
        <v>0.90500000000000003</v>
      </c>
      <c r="F61" s="3">
        <v>92</v>
      </c>
    </row>
    <row r="62" spans="1:6" x14ac:dyDescent="0.25">
      <c r="A62" s="3" t="s">
        <v>0</v>
      </c>
      <c r="B62" s="3">
        <v>25</v>
      </c>
      <c r="C62" s="3">
        <v>1</v>
      </c>
      <c r="D62" s="3">
        <v>723.56200000000001</v>
      </c>
      <c r="E62" s="3">
        <v>0.90600000000000003</v>
      </c>
      <c r="F62" s="3">
        <v>104</v>
      </c>
    </row>
    <row r="63" spans="1:6" x14ac:dyDescent="0.25">
      <c r="A63" s="3" t="s">
        <v>0</v>
      </c>
      <c r="B63" s="3">
        <v>25</v>
      </c>
      <c r="C63" s="3">
        <v>1</v>
      </c>
      <c r="D63" s="3">
        <v>723.89800000000002</v>
      </c>
      <c r="E63" s="3">
        <v>0.90700000000000003</v>
      </c>
      <c r="F63" s="3">
        <v>98</v>
      </c>
    </row>
    <row r="64" spans="1:6" x14ac:dyDescent="0.25">
      <c r="A64" s="3" t="s">
        <v>0</v>
      </c>
      <c r="B64" s="3">
        <v>25</v>
      </c>
      <c r="C64" s="3">
        <v>1</v>
      </c>
      <c r="D64" s="3">
        <v>723.05200000000002</v>
      </c>
      <c r="E64" s="3">
        <v>0.90400000000000003</v>
      </c>
      <c r="F64" s="3">
        <v>108</v>
      </c>
    </row>
    <row r="65" spans="1:6" x14ac:dyDescent="0.25">
      <c r="A65" s="3" t="s">
        <v>0</v>
      </c>
      <c r="B65" s="3">
        <v>25</v>
      </c>
      <c r="C65" s="3">
        <v>1</v>
      </c>
      <c r="D65" s="3">
        <v>723.81500000000005</v>
      </c>
      <c r="E65" s="3">
        <v>0.90500000000000003</v>
      </c>
      <c r="F65" s="3">
        <v>103</v>
      </c>
    </row>
    <row r="66" spans="1:6" x14ac:dyDescent="0.25">
      <c r="A66" s="3" t="s">
        <v>0</v>
      </c>
      <c r="B66" s="3">
        <v>25</v>
      </c>
      <c r="C66" s="3">
        <v>1</v>
      </c>
      <c r="D66" s="3">
        <v>723.5</v>
      </c>
      <c r="E66" s="3">
        <v>0.90400000000000003</v>
      </c>
      <c r="F66" s="3">
        <v>111</v>
      </c>
    </row>
    <row r="67" spans="1:6" x14ac:dyDescent="0.25">
      <c r="A67" s="3" t="s">
        <v>0</v>
      </c>
      <c r="B67" s="3">
        <v>25</v>
      </c>
      <c r="C67" s="3">
        <v>1</v>
      </c>
      <c r="D67" s="3">
        <v>723.43100000000004</v>
      </c>
      <c r="E67" s="3">
        <v>0.90300000000000002</v>
      </c>
      <c r="F67" s="3">
        <v>103</v>
      </c>
    </row>
    <row r="68" spans="1:6" x14ac:dyDescent="0.25">
      <c r="A68" s="3" t="s">
        <v>0</v>
      </c>
      <c r="B68" s="3">
        <v>25</v>
      </c>
      <c r="C68" s="3">
        <v>1</v>
      </c>
      <c r="D68" s="3">
        <v>723.22699999999998</v>
      </c>
      <c r="E68" s="3">
        <v>0.90400000000000003</v>
      </c>
      <c r="F68" s="3">
        <v>110</v>
      </c>
    </row>
    <row r="69" spans="1:6" x14ac:dyDescent="0.25">
      <c r="A69" s="3" t="s">
        <v>0</v>
      </c>
      <c r="B69" s="3">
        <v>25</v>
      </c>
      <c r="C69" s="3">
        <v>1</v>
      </c>
      <c r="D69" s="3">
        <v>723.81</v>
      </c>
      <c r="E69" s="3">
        <v>0.90200000000000002</v>
      </c>
      <c r="F69" s="3">
        <v>94</v>
      </c>
    </row>
    <row r="70" spans="1:6" x14ac:dyDescent="0.25">
      <c r="A70" s="3" t="s">
        <v>0</v>
      </c>
      <c r="B70" s="3">
        <v>25</v>
      </c>
      <c r="C70" s="3">
        <v>1</v>
      </c>
      <c r="D70" s="3">
        <v>723.81200000000001</v>
      </c>
      <c r="E70" s="3">
        <v>0.90500000000000003</v>
      </c>
      <c r="F70" s="3">
        <v>107</v>
      </c>
    </row>
    <row r="71" spans="1:6" x14ac:dyDescent="0.25">
      <c r="A71" s="3" t="s">
        <v>0</v>
      </c>
      <c r="B71" s="3">
        <v>50</v>
      </c>
      <c r="C71" s="3">
        <v>1</v>
      </c>
      <c r="D71" s="3">
        <v>1572.3440000000001</v>
      </c>
      <c r="E71" s="3">
        <v>3.3759999999999999</v>
      </c>
      <c r="F71" s="3">
        <v>109</v>
      </c>
    </row>
    <row r="72" spans="1:6" x14ac:dyDescent="0.25">
      <c r="A72" s="3" t="s">
        <v>0</v>
      </c>
      <c r="B72" s="3">
        <v>50</v>
      </c>
      <c r="C72" s="3">
        <v>1</v>
      </c>
      <c r="D72" s="3">
        <v>1571.296</v>
      </c>
      <c r="E72" s="3">
        <v>3.3849999999999998</v>
      </c>
      <c r="F72" s="3">
        <v>105</v>
      </c>
    </row>
    <row r="73" spans="1:6" x14ac:dyDescent="0.25">
      <c r="A73" s="3" t="s">
        <v>0</v>
      </c>
      <c r="B73" s="3">
        <v>50</v>
      </c>
      <c r="C73" s="3">
        <v>1</v>
      </c>
      <c r="D73" s="3">
        <v>1572.0350000000001</v>
      </c>
      <c r="E73" s="3">
        <v>3.3809999999999998</v>
      </c>
      <c r="F73" s="3">
        <v>106</v>
      </c>
    </row>
    <row r="74" spans="1:6" x14ac:dyDescent="0.25">
      <c r="A74" s="3" t="s">
        <v>0</v>
      </c>
      <c r="B74" s="3">
        <v>50</v>
      </c>
      <c r="C74" s="3">
        <v>1</v>
      </c>
      <c r="D74" s="3">
        <v>1571.068</v>
      </c>
      <c r="E74" s="3">
        <v>3.3919999999999999</v>
      </c>
      <c r="F74" s="3">
        <v>106</v>
      </c>
    </row>
    <row r="75" spans="1:6" x14ac:dyDescent="0.25">
      <c r="A75" s="3" t="s">
        <v>0</v>
      </c>
      <c r="B75" s="3">
        <v>50</v>
      </c>
      <c r="C75" s="3">
        <v>1</v>
      </c>
      <c r="D75" s="3">
        <v>1571.5139999999999</v>
      </c>
      <c r="E75" s="3">
        <v>3.3849999999999998</v>
      </c>
      <c r="F75" s="3">
        <v>108</v>
      </c>
    </row>
    <row r="76" spans="1:6" x14ac:dyDescent="0.25">
      <c r="A76" s="3" t="s">
        <v>0</v>
      </c>
      <c r="B76" s="3">
        <v>50</v>
      </c>
      <c r="C76" s="3">
        <v>1</v>
      </c>
      <c r="D76" s="3">
        <v>1571.7</v>
      </c>
      <c r="E76" s="3">
        <v>3.375</v>
      </c>
      <c r="F76" s="3">
        <v>101</v>
      </c>
    </row>
    <row r="77" spans="1:6" x14ac:dyDescent="0.25">
      <c r="A77" s="3" t="s">
        <v>0</v>
      </c>
      <c r="B77" s="3">
        <v>50</v>
      </c>
      <c r="C77" s="3">
        <v>1</v>
      </c>
      <c r="D77" s="3">
        <v>1573.817</v>
      </c>
      <c r="E77" s="3">
        <v>3.3719999999999999</v>
      </c>
      <c r="F77" s="3">
        <v>107</v>
      </c>
    </row>
    <row r="78" spans="1:6" x14ac:dyDescent="0.25">
      <c r="A78" s="3" t="s">
        <v>0</v>
      </c>
      <c r="B78" s="3">
        <v>50</v>
      </c>
      <c r="C78" s="3">
        <v>1</v>
      </c>
      <c r="D78" s="3">
        <v>1570.9680000000001</v>
      </c>
      <c r="E78" s="3">
        <v>3.3889999999999998</v>
      </c>
      <c r="F78" s="3">
        <v>104</v>
      </c>
    </row>
    <row r="79" spans="1:6" x14ac:dyDescent="0.25">
      <c r="A79" s="3" t="s">
        <v>0</v>
      </c>
      <c r="B79" s="3">
        <v>50</v>
      </c>
      <c r="C79" s="3">
        <v>1</v>
      </c>
      <c r="D79" s="3">
        <v>1571.6759999999999</v>
      </c>
      <c r="E79" s="3">
        <v>3.3730000000000002</v>
      </c>
      <c r="F79" s="3">
        <v>109</v>
      </c>
    </row>
    <row r="80" spans="1:6" x14ac:dyDescent="0.25">
      <c r="A80" s="3" t="s">
        <v>0</v>
      </c>
      <c r="B80" s="3">
        <v>50</v>
      </c>
      <c r="C80" s="3">
        <v>1</v>
      </c>
      <c r="D80" s="3">
        <v>1571.184</v>
      </c>
      <c r="E80" s="3">
        <v>3.3759999999999999</v>
      </c>
      <c r="F80" s="3">
        <v>103</v>
      </c>
    </row>
    <row r="81" spans="1:6" x14ac:dyDescent="0.25">
      <c r="A81" s="3" t="s">
        <v>0</v>
      </c>
      <c r="B81" s="3">
        <v>100</v>
      </c>
      <c r="C81" s="3">
        <v>1</v>
      </c>
      <c r="D81" s="3">
        <v>3308.6840000000002</v>
      </c>
      <c r="E81" s="3">
        <v>11.358000000000001</v>
      </c>
      <c r="F81" s="3">
        <v>83</v>
      </c>
    </row>
    <row r="82" spans="1:6" x14ac:dyDescent="0.25">
      <c r="A82" s="3" t="s">
        <v>0</v>
      </c>
      <c r="B82" s="3">
        <v>100</v>
      </c>
      <c r="C82" s="3">
        <v>1</v>
      </c>
      <c r="D82" s="3">
        <v>3326.7579999999998</v>
      </c>
      <c r="E82" s="3">
        <v>11.39</v>
      </c>
      <c r="F82" s="3">
        <v>84</v>
      </c>
    </row>
    <row r="83" spans="1:6" x14ac:dyDescent="0.25">
      <c r="A83" s="3" t="s">
        <v>0</v>
      </c>
      <c r="B83" s="3">
        <v>100</v>
      </c>
      <c r="C83" s="3">
        <v>1</v>
      </c>
      <c r="D83" s="3">
        <v>3323.7040000000002</v>
      </c>
      <c r="E83" s="3">
        <v>11.36</v>
      </c>
      <c r="F83" s="3">
        <v>83</v>
      </c>
    </row>
    <row r="84" spans="1:6" x14ac:dyDescent="0.25">
      <c r="A84" s="3" t="s">
        <v>0</v>
      </c>
      <c r="B84" s="3">
        <v>100</v>
      </c>
      <c r="C84" s="3">
        <v>1</v>
      </c>
      <c r="D84" s="3">
        <v>3306.7249999999999</v>
      </c>
      <c r="E84" s="3">
        <v>11.355</v>
      </c>
      <c r="F84" s="3">
        <v>84</v>
      </c>
    </row>
    <row r="85" spans="1:6" x14ac:dyDescent="0.25">
      <c r="A85" s="3" t="s">
        <v>0</v>
      </c>
      <c r="B85" s="3">
        <v>100</v>
      </c>
      <c r="C85" s="3">
        <v>1</v>
      </c>
      <c r="D85" s="3">
        <v>3338.576</v>
      </c>
      <c r="E85" s="3">
        <v>11.351000000000001</v>
      </c>
      <c r="F85" s="3">
        <v>84</v>
      </c>
    </row>
    <row r="86" spans="1:6" x14ac:dyDescent="0.25">
      <c r="A86" s="3" t="s">
        <v>0</v>
      </c>
      <c r="B86" s="3">
        <v>100</v>
      </c>
      <c r="C86" s="3">
        <v>1</v>
      </c>
      <c r="D86" s="3">
        <v>3322.248</v>
      </c>
      <c r="E86" s="3">
        <v>11.398</v>
      </c>
      <c r="F86" s="3">
        <v>85</v>
      </c>
    </row>
    <row r="87" spans="1:6" x14ac:dyDescent="0.25">
      <c r="A87" s="3" t="s">
        <v>0</v>
      </c>
      <c r="B87" s="3">
        <v>100</v>
      </c>
      <c r="C87" s="3">
        <v>1</v>
      </c>
      <c r="D87" s="3">
        <v>3316.9140000000002</v>
      </c>
      <c r="E87" s="3">
        <v>11.356999999999999</v>
      </c>
      <c r="F87" s="3">
        <v>85</v>
      </c>
    </row>
    <row r="88" spans="1:6" x14ac:dyDescent="0.25">
      <c r="A88" s="3" t="s">
        <v>0</v>
      </c>
      <c r="B88" s="3">
        <v>100</v>
      </c>
      <c r="C88" s="3">
        <v>1</v>
      </c>
      <c r="D88" s="3">
        <v>3338.2649999999999</v>
      </c>
      <c r="E88" s="3">
        <v>11.318</v>
      </c>
      <c r="F88" s="3">
        <v>84</v>
      </c>
    </row>
    <row r="89" spans="1:6" x14ac:dyDescent="0.25">
      <c r="A89" s="3" t="s">
        <v>0</v>
      </c>
      <c r="B89" s="3">
        <v>100</v>
      </c>
      <c r="C89" s="3">
        <v>1</v>
      </c>
      <c r="D89" s="3">
        <v>3316.3809999999999</v>
      </c>
      <c r="E89" s="3">
        <v>11.39</v>
      </c>
      <c r="F89" s="3">
        <v>84</v>
      </c>
    </row>
    <row r="90" spans="1:6" x14ac:dyDescent="0.25">
      <c r="A90" s="3" t="s">
        <v>0</v>
      </c>
      <c r="B90" s="3">
        <v>100</v>
      </c>
      <c r="C90" s="3">
        <v>1</v>
      </c>
      <c r="D90" s="3">
        <v>3332.6019999999999</v>
      </c>
      <c r="E90" s="3">
        <v>11.336</v>
      </c>
      <c r="F90" s="3">
        <v>84</v>
      </c>
    </row>
  </sheetData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0"/>
  <sheetViews>
    <sheetView zoomScale="85" zoomScaleNormal="85" workbookViewId="0">
      <selection sqref="A1:F91"/>
    </sheetView>
  </sheetViews>
  <sheetFormatPr defaultColWidth="9" defaultRowHeight="15" x14ac:dyDescent="0.25"/>
  <cols>
    <col min="1" max="1" width="9.875" style="3" customWidth="1"/>
    <col min="2" max="2" width="4.375" style="3" bestFit="1" customWidth="1"/>
    <col min="3" max="3" width="2.625" style="3" bestFit="1" customWidth="1"/>
    <col min="4" max="4" width="10.75" style="3" customWidth="1"/>
    <col min="5" max="5" width="7" style="3" bestFit="1" customWidth="1"/>
    <col min="6" max="6" width="4.375" style="3" bestFit="1" customWidth="1"/>
    <col min="7" max="7" width="2.5" style="3" customWidth="1"/>
    <col min="8" max="8" width="9.75" style="3" customWidth="1"/>
    <col min="9" max="9" width="4.375" style="3" bestFit="1" customWidth="1"/>
    <col min="10" max="10" width="3.125" style="3" bestFit="1" customWidth="1"/>
    <col min="11" max="11" width="2.625" style="3" customWidth="1"/>
    <col min="12" max="21" width="9" style="3"/>
    <col min="22" max="22" width="3.25" style="3" customWidth="1"/>
    <col min="23" max="23" width="9" style="3"/>
    <col min="24" max="24" width="2.375" style="3" customWidth="1"/>
    <col min="25" max="25" width="9" style="3"/>
    <col min="26" max="26" width="2.25" style="3" customWidth="1"/>
    <col min="27" max="27" width="2.625" style="3" customWidth="1"/>
    <col min="28" max="37" width="9" style="3"/>
    <col min="38" max="38" width="5.625" style="3" customWidth="1"/>
    <col min="39" max="16384" width="9" style="3"/>
  </cols>
  <sheetData>
    <row r="1" spans="1:39" x14ac:dyDescent="0.25">
      <c r="A1" s="3" t="s">
        <v>2</v>
      </c>
      <c r="B1" s="3">
        <v>24</v>
      </c>
      <c r="C1" s="3">
        <v>1</v>
      </c>
      <c r="D1" s="3">
        <v>55975.55</v>
      </c>
      <c r="E1" s="3">
        <v>1.2350000000000001</v>
      </c>
      <c r="F1" s="3">
        <v>140</v>
      </c>
      <c r="H1" s="5" t="s">
        <v>13</v>
      </c>
      <c r="I1" s="5" t="s">
        <v>14</v>
      </c>
      <c r="J1" s="5" t="s">
        <v>10</v>
      </c>
      <c r="K1" s="2"/>
      <c r="L1" s="2">
        <v>1</v>
      </c>
      <c r="M1" s="2">
        <v>2</v>
      </c>
      <c r="N1" s="2">
        <v>3</v>
      </c>
      <c r="O1" s="2">
        <v>4</v>
      </c>
      <c r="P1" s="2">
        <v>5</v>
      </c>
      <c r="Q1" s="2">
        <v>6</v>
      </c>
      <c r="R1" s="2">
        <v>7</v>
      </c>
      <c r="S1" s="2">
        <v>8</v>
      </c>
      <c r="T1" s="2">
        <v>9</v>
      </c>
      <c r="U1" s="2">
        <v>10</v>
      </c>
      <c r="W1" s="2" t="s">
        <v>11</v>
      </c>
      <c r="X1" s="2"/>
      <c r="Y1" s="2" t="s">
        <v>9</v>
      </c>
      <c r="Z1" s="2"/>
      <c r="AM1" s="5" t="s">
        <v>12</v>
      </c>
    </row>
    <row r="2" spans="1:39" x14ac:dyDescent="0.25">
      <c r="A2" s="3" t="s">
        <v>2</v>
      </c>
      <c r="B2" s="3">
        <v>24</v>
      </c>
      <c r="C2" s="3">
        <v>1</v>
      </c>
      <c r="D2" s="3">
        <v>55940.726000000002</v>
      </c>
      <c r="E2" s="3">
        <v>1.2390000000000001</v>
      </c>
      <c r="F2" s="3">
        <v>162</v>
      </c>
      <c r="H2" s="3" t="s">
        <v>2</v>
      </c>
      <c r="I2" s="3">
        <v>24</v>
      </c>
      <c r="J2" s="3">
        <v>1</v>
      </c>
      <c r="L2" s="3">
        <f ca="1">INDIRECT("D"&amp;1+(ROW(D1)-1)*10+COLUMN(A1)-1)</f>
        <v>55975.55</v>
      </c>
      <c r="M2" s="3">
        <f t="shared" ref="M2:U10" ca="1" si="0">INDIRECT("D"&amp;1+(ROW(E1)-1)*10+COLUMN(B1)-1)</f>
        <v>55940.726000000002</v>
      </c>
      <c r="N2" s="3">
        <f t="shared" ca="1" si="0"/>
        <v>55977.182999999997</v>
      </c>
      <c r="O2" s="3">
        <f t="shared" ca="1" si="0"/>
        <v>55947.125999999997</v>
      </c>
      <c r="P2" s="3">
        <f t="shared" ca="1" si="0"/>
        <v>55952.296999999999</v>
      </c>
      <c r="Q2" s="3">
        <f t="shared" ca="1" si="0"/>
        <v>55961.313000000002</v>
      </c>
      <c r="R2" s="3">
        <f t="shared" ca="1" si="0"/>
        <v>55985.321000000004</v>
      </c>
      <c r="S2" s="3">
        <f t="shared" ca="1" si="0"/>
        <v>55966.379000000001</v>
      </c>
      <c r="T2" s="3">
        <f t="shared" ca="1" si="0"/>
        <v>55994.298999999999</v>
      </c>
      <c r="U2" s="3">
        <f t="shared" ca="1" si="0"/>
        <v>55958.758999999998</v>
      </c>
      <c r="W2" s="3">
        <f ca="1">AVERAGE(L2:U2)</f>
        <v>55965.895299999996</v>
      </c>
      <c r="Y2" s="3">
        <f ca="1">Total!E2</f>
        <v>55722.476000000002</v>
      </c>
      <c r="AB2" s="3">
        <f t="shared" ref="AB2:AK10" ca="1" si="1">(L2-$Y2)/$Y2</f>
        <v>4.5416861949924931E-3</v>
      </c>
      <c r="AC2" s="3">
        <f t="shared" ca="1" si="1"/>
        <v>3.9167319126307311E-3</v>
      </c>
      <c r="AD2" s="3">
        <f t="shared" ca="1" si="1"/>
        <v>4.5709921432779636E-3</v>
      </c>
      <c r="AE2" s="3">
        <f t="shared" ca="1" si="1"/>
        <v>4.0315868232415619E-3</v>
      </c>
      <c r="AF2" s="3">
        <f t="shared" ca="1" si="1"/>
        <v>4.1243860017992785E-3</v>
      </c>
      <c r="AG2" s="3">
        <f t="shared" ca="1" si="1"/>
        <v>4.2861878571224922E-3</v>
      </c>
      <c r="AH2" s="3">
        <f t="shared" ca="1" si="1"/>
        <v>4.7170373405517937E-3</v>
      </c>
      <c r="AI2" s="3">
        <f t="shared" ca="1" si="1"/>
        <v>4.3771026973029419E-3</v>
      </c>
      <c r="AJ2" s="3">
        <f t="shared" ca="1" si="1"/>
        <v>4.8781572448431164E-3</v>
      </c>
      <c r="AK2" s="3">
        <f t="shared" ca="1" si="1"/>
        <v>4.2403535693567489E-3</v>
      </c>
      <c r="AM2" s="3">
        <f ca="1">SUM(AB2:AK2)</f>
        <v>4.3684221785119118E-2</v>
      </c>
    </row>
    <row r="3" spans="1:39" x14ac:dyDescent="0.25">
      <c r="A3" s="3" t="s">
        <v>2</v>
      </c>
      <c r="B3" s="3">
        <v>24</v>
      </c>
      <c r="C3" s="3">
        <v>1</v>
      </c>
      <c r="D3" s="3">
        <v>55977.182999999997</v>
      </c>
      <c r="E3" s="3">
        <v>1.2390000000000001</v>
      </c>
      <c r="F3" s="3">
        <v>170</v>
      </c>
      <c r="H3" s="3" t="s">
        <v>2</v>
      </c>
      <c r="I3" s="3">
        <v>47</v>
      </c>
      <c r="J3" s="3">
        <v>1</v>
      </c>
      <c r="L3" s="3">
        <f t="shared" ref="L3:L10" ca="1" si="2">INDIRECT("D"&amp;1+(ROW(D2)-1)*10+COLUMN(A2)-1)</f>
        <v>126312.162</v>
      </c>
      <c r="M3" s="3">
        <f t="shared" ca="1" si="0"/>
        <v>126288.356</v>
      </c>
      <c r="N3" s="3">
        <f t="shared" ca="1" si="0"/>
        <v>126290.621</v>
      </c>
      <c r="O3" s="3">
        <f t="shared" ca="1" si="0"/>
        <v>126369.01300000001</v>
      </c>
      <c r="P3" s="3">
        <f t="shared" ca="1" si="0"/>
        <v>126199.272</v>
      </c>
      <c r="Q3" s="3">
        <f t="shared" ca="1" si="0"/>
        <v>126398.29700000001</v>
      </c>
      <c r="R3" s="3">
        <f t="shared" ca="1" si="0"/>
        <v>126288.79300000001</v>
      </c>
      <c r="S3" s="3">
        <f t="shared" ca="1" si="0"/>
        <v>126302.016</v>
      </c>
      <c r="T3" s="3">
        <f t="shared" ca="1" si="0"/>
        <v>126307.96</v>
      </c>
      <c r="U3" s="3">
        <f t="shared" ca="1" si="0"/>
        <v>126226.42600000001</v>
      </c>
      <c r="W3" s="3">
        <f t="shared" ref="W3:W10" ca="1" si="3">AVERAGE(L3:U3)</f>
        <v>126298.2916</v>
      </c>
      <c r="Y3" s="3">
        <f ca="1">Total!E3</f>
        <v>126021.209</v>
      </c>
      <c r="AB3" s="3">
        <f t="shared" ca="1" si="1"/>
        <v>2.3087621703422483E-3</v>
      </c>
      <c r="AC3" s="3">
        <f t="shared" ca="1" si="1"/>
        <v>2.1198574598661184E-3</v>
      </c>
      <c r="AD3" s="3">
        <f t="shared" ca="1" si="1"/>
        <v>2.1378306250021506E-3</v>
      </c>
      <c r="AE3" s="3">
        <f t="shared" ca="1" si="1"/>
        <v>2.7598846476707246E-3</v>
      </c>
      <c r="AF3" s="3">
        <f t="shared" ca="1" si="1"/>
        <v>1.4129605755487922E-3</v>
      </c>
      <c r="AG3" s="3">
        <f t="shared" ca="1" si="1"/>
        <v>2.9922582317076754E-3</v>
      </c>
      <c r="AH3" s="3">
        <f t="shared" ca="1" si="1"/>
        <v>2.1233251301374404E-3</v>
      </c>
      <c r="AI3" s="3">
        <f t="shared" ca="1" si="1"/>
        <v>2.2282519127395507E-3</v>
      </c>
      <c r="AJ3" s="3">
        <f t="shared" ca="1" si="1"/>
        <v>2.2754185765667735E-3</v>
      </c>
      <c r="AK3" s="3">
        <f t="shared" ca="1" si="1"/>
        <v>1.6284322427029261E-3</v>
      </c>
      <c r="AM3" s="3">
        <f t="shared" ref="AM3:AM10" ca="1" si="4">SUM(AB3:AK3)</f>
        <v>2.1986981572284403E-2</v>
      </c>
    </row>
    <row r="4" spans="1:39" x14ac:dyDescent="0.25">
      <c r="A4" s="3" t="s">
        <v>2</v>
      </c>
      <c r="B4" s="3">
        <v>24</v>
      </c>
      <c r="C4" s="3">
        <v>1</v>
      </c>
      <c r="D4" s="3">
        <v>55947.125999999997</v>
      </c>
      <c r="E4" s="3">
        <v>1.24</v>
      </c>
      <c r="F4" s="3">
        <v>165</v>
      </c>
      <c r="H4" s="3" t="s">
        <v>2</v>
      </c>
      <c r="I4" s="3">
        <v>100</v>
      </c>
      <c r="J4" s="3">
        <v>1</v>
      </c>
      <c r="L4" s="3">
        <f t="shared" ca="1" si="2"/>
        <v>1216950.9750000001</v>
      </c>
      <c r="M4" s="3">
        <f t="shared" ca="1" si="0"/>
        <v>1216974.865</v>
      </c>
      <c r="N4" s="3">
        <f t="shared" ca="1" si="0"/>
        <v>1216996.7220000001</v>
      </c>
      <c r="O4" s="3">
        <f t="shared" ca="1" si="0"/>
        <v>1217261.406</v>
      </c>
      <c r="P4" s="3">
        <f t="shared" ca="1" si="0"/>
        <v>1217945.8529999999</v>
      </c>
      <c r="Q4" s="3">
        <f t="shared" ca="1" si="0"/>
        <v>1216980.4310000001</v>
      </c>
      <c r="R4" s="3">
        <f t="shared" ca="1" si="0"/>
        <v>1217493.632</v>
      </c>
      <c r="S4" s="3">
        <f t="shared" ca="1" si="0"/>
        <v>1217765.395</v>
      </c>
      <c r="T4" s="3">
        <f t="shared" ca="1" si="0"/>
        <v>1216978.2180000001</v>
      </c>
      <c r="U4" s="3">
        <f t="shared" ca="1" si="0"/>
        <v>1217177.4310000001</v>
      </c>
      <c r="W4" s="3">
        <f t="shared" ca="1" si="3"/>
        <v>1217252.4927999999</v>
      </c>
      <c r="Y4" s="3">
        <f ca="1">Total!E4</f>
        <v>1216556.6340000001</v>
      </c>
      <c r="AB4" s="3">
        <f t="shared" ca="1" si="1"/>
        <v>3.2414520539289163E-4</v>
      </c>
      <c r="AC4" s="3">
        <f t="shared" ca="1" si="1"/>
        <v>3.4378259779389148E-4</v>
      </c>
      <c r="AD4" s="3">
        <f t="shared" ca="1" si="1"/>
        <v>3.617488801593998E-4</v>
      </c>
      <c r="AE4" s="3">
        <f t="shared" ca="1" si="1"/>
        <v>5.7931704969838732E-4</v>
      </c>
      <c r="AF4" s="3">
        <f t="shared" ca="1" si="1"/>
        <v>1.1419271090011647E-3</v>
      </c>
      <c r="AG4" s="3">
        <f t="shared" ca="1" si="1"/>
        <v>3.4835780608633834E-4</v>
      </c>
      <c r="AH4" s="3">
        <f t="shared" ca="1" si="1"/>
        <v>7.7020499811758449E-4</v>
      </c>
      <c r="AI4" s="3">
        <f t="shared" ca="1" si="1"/>
        <v>9.9359205006804494E-4</v>
      </c>
      <c r="AJ4" s="3">
        <f t="shared" ca="1" si="1"/>
        <v>3.4653873746417926E-4</v>
      </c>
      <c r="AK4" s="3">
        <f t="shared" ca="1" si="1"/>
        <v>5.1029025912164845E-4</v>
      </c>
      <c r="AM4" s="3">
        <f t="shared" ca="1" si="4"/>
        <v>5.719904692903531E-3</v>
      </c>
    </row>
    <row r="5" spans="1:39" x14ac:dyDescent="0.25">
      <c r="A5" s="3" t="s">
        <v>2</v>
      </c>
      <c r="B5" s="3">
        <v>24</v>
      </c>
      <c r="C5" s="3">
        <v>1</v>
      </c>
      <c r="D5" s="3">
        <v>55952.296999999999</v>
      </c>
      <c r="E5" s="3">
        <v>1.2390000000000001</v>
      </c>
      <c r="F5" s="3">
        <v>164</v>
      </c>
      <c r="H5" s="3" t="s">
        <v>1</v>
      </c>
      <c r="I5" s="3">
        <v>30</v>
      </c>
      <c r="J5" s="3">
        <v>1</v>
      </c>
      <c r="L5" s="3">
        <f t="shared" ca="1" si="2"/>
        <v>20038.095000000001</v>
      </c>
      <c r="M5" s="3">
        <f t="shared" ca="1" si="0"/>
        <v>20003.606</v>
      </c>
      <c r="N5" s="3">
        <f t="shared" ca="1" si="0"/>
        <v>19991.281999999999</v>
      </c>
      <c r="O5" s="3">
        <f t="shared" ca="1" si="0"/>
        <v>20001.399000000001</v>
      </c>
      <c r="P5" s="3">
        <f t="shared" ca="1" si="0"/>
        <v>20006.373</v>
      </c>
      <c r="Q5" s="3">
        <f t="shared" ca="1" si="0"/>
        <v>20009.973999999998</v>
      </c>
      <c r="R5" s="3">
        <f t="shared" ca="1" si="0"/>
        <v>20058.728999999999</v>
      </c>
      <c r="S5" s="3">
        <f t="shared" ca="1" si="0"/>
        <v>19980.897000000001</v>
      </c>
      <c r="T5" s="3">
        <f t="shared" ca="1" si="0"/>
        <v>19987.314999999999</v>
      </c>
      <c r="U5" s="3">
        <f t="shared" ca="1" si="0"/>
        <v>20021.825000000001</v>
      </c>
      <c r="W5" s="3">
        <f t="shared" ca="1" si="3"/>
        <v>20009.949500000002</v>
      </c>
      <c r="Y5" s="3">
        <f ca="1">Total!E5</f>
        <v>19969.536</v>
      </c>
      <c r="AB5" s="3">
        <f t="shared" ca="1" si="1"/>
        <v>3.43317941889091E-3</v>
      </c>
      <c r="AC5" s="3">
        <f t="shared" ca="1" si="1"/>
        <v>1.7060987295848891E-3</v>
      </c>
      <c r="AD5" s="3">
        <f t="shared" ca="1" si="1"/>
        <v>1.0889587018946853E-3</v>
      </c>
      <c r="AE5" s="3">
        <f t="shared" ca="1" si="1"/>
        <v>1.5955803880471331E-3</v>
      </c>
      <c r="AF5" s="3">
        <f t="shared" ca="1" si="1"/>
        <v>1.8446597857856854E-3</v>
      </c>
      <c r="AG5" s="3">
        <f t="shared" ca="1" si="1"/>
        <v>2.0249844563237866E-3</v>
      </c>
      <c r="AH5" s="3">
        <f t="shared" ca="1" si="1"/>
        <v>4.4664533016690678E-3</v>
      </c>
      <c r="AI5" s="3">
        <f t="shared" ca="1" si="1"/>
        <v>5.6891657372513743E-4</v>
      </c>
      <c r="AJ5" s="3">
        <f t="shared" ca="1" si="1"/>
        <v>8.9030611427319258E-4</v>
      </c>
      <c r="AK5" s="3">
        <f t="shared" ca="1" si="1"/>
        <v>2.6184384053791069E-3</v>
      </c>
      <c r="AM5" s="3">
        <f t="shared" ca="1" si="4"/>
        <v>2.023757587557359E-2</v>
      </c>
    </row>
    <row r="6" spans="1:39" x14ac:dyDescent="0.25">
      <c r="A6" s="3" t="s">
        <v>2</v>
      </c>
      <c r="B6" s="3">
        <v>24</v>
      </c>
      <c r="C6" s="3">
        <v>1</v>
      </c>
      <c r="D6" s="3">
        <v>55961.313000000002</v>
      </c>
      <c r="E6" s="3">
        <v>1.24</v>
      </c>
      <c r="F6" s="3">
        <v>175</v>
      </c>
      <c r="H6" s="3" t="s">
        <v>1</v>
      </c>
      <c r="I6" s="3">
        <v>50</v>
      </c>
      <c r="J6" s="3">
        <v>1</v>
      </c>
      <c r="L6" s="3">
        <f t="shared" ca="1" si="2"/>
        <v>35513.589</v>
      </c>
      <c r="M6" s="3">
        <f t="shared" ca="1" si="0"/>
        <v>35458.754000000001</v>
      </c>
      <c r="N6" s="3">
        <f t="shared" ca="1" si="0"/>
        <v>35455.508999999998</v>
      </c>
      <c r="O6" s="3">
        <f t="shared" ca="1" si="0"/>
        <v>35457.728999999999</v>
      </c>
      <c r="P6" s="3">
        <f t="shared" ca="1" si="0"/>
        <v>35481.468000000001</v>
      </c>
      <c r="Q6" s="3">
        <f t="shared" ca="1" si="0"/>
        <v>35463.682000000001</v>
      </c>
      <c r="R6" s="3">
        <f t="shared" ca="1" si="0"/>
        <v>35439.642999999996</v>
      </c>
      <c r="S6" s="3">
        <f t="shared" ca="1" si="0"/>
        <v>35438.991000000002</v>
      </c>
      <c r="T6" s="3">
        <f t="shared" ca="1" si="0"/>
        <v>35440.978000000003</v>
      </c>
      <c r="U6" s="3">
        <f t="shared" ca="1" si="0"/>
        <v>35390.487999999998</v>
      </c>
      <c r="W6" s="3">
        <f t="shared" ca="1" si="3"/>
        <v>35454.083099999996</v>
      </c>
      <c r="Y6" s="3">
        <f ca="1">Total!E6</f>
        <v>35277.981</v>
      </c>
      <c r="AB6" s="3">
        <f t="shared" ca="1" si="1"/>
        <v>6.6786134954832073E-3</v>
      </c>
      <c r="AC6" s="3">
        <f t="shared" ca="1" si="1"/>
        <v>5.1242444968718883E-3</v>
      </c>
      <c r="AD6" s="3">
        <f t="shared" ca="1" si="1"/>
        <v>5.0322607747874922E-3</v>
      </c>
      <c r="AE6" s="3">
        <f t="shared" ca="1" si="1"/>
        <v>5.0951895461364295E-3</v>
      </c>
      <c r="AF6" s="3">
        <f t="shared" ca="1" si="1"/>
        <v>5.768102205168742E-3</v>
      </c>
      <c r="AG6" s="3">
        <f t="shared" ca="1" si="1"/>
        <v>5.2639350307490933E-3</v>
      </c>
      <c r="AH6" s="3">
        <f t="shared" ca="1" si="1"/>
        <v>4.5825184836965766E-3</v>
      </c>
      <c r="AI6" s="3">
        <f t="shared" ca="1" si="1"/>
        <v>4.5640367003996641E-3</v>
      </c>
      <c r="AJ6" s="3">
        <f t="shared" ca="1" si="1"/>
        <v>4.6203607853863016E-3</v>
      </c>
      <c r="AK6" s="3">
        <f t="shared" ca="1" si="1"/>
        <v>3.1891564315995801E-3</v>
      </c>
      <c r="AM6" s="3">
        <f t="shared" ca="1" si="4"/>
        <v>4.9918417950278973E-2</v>
      </c>
    </row>
    <row r="7" spans="1:39" x14ac:dyDescent="0.25">
      <c r="A7" s="3" t="s">
        <v>2</v>
      </c>
      <c r="B7" s="3">
        <v>24</v>
      </c>
      <c r="C7" s="3">
        <v>1</v>
      </c>
      <c r="D7" s="3">
        <v>55985.321000000004</v>
      </c>
      <c r="E7" s="3">
        <v>1.236</v>
      </c>
      <c r="F7" s="3">
        <v>165</v>
      </c>
      <c r="H7" s="3" t="s">
        <v>1</v>
      </c>
      <c r="I7" s="3">
        <v>100</v>
      </c>
      <c r="J7" s="3">
        <v>1</v>
      </c>
      <c r="L7" s="3">
        <f t="shared" ca="1" si="2"/>
        <v>63192.872000000003</v>
      </c>
      <c r="M7" s="3">
        <f t="shared" ca="1" si="0"/>
        <v>63118.849000000002</v>
      </c>
      <c r="N7" s="3">
        <f t="shared" ca="1" si="0"/>
        <v>63144.595999999998</v>
      </c>
      <c r="O7" s="3">
        <f t="shared" ca="1" si="0"/>
        <v>63199.163</v>
      </c>
      <c r="P7" s="3">
        <f t="shared" ca="1" si="0"/>
        <v>63172.171999999999</v>
      </c>
      <c r="Q7" s="3">
        <f t="shared" ca="1" si="0"/>
        <v>63170.597000000002</v>
      </c>
      <c r="R7" s="3">
        <f t="shared" ca="1" si="0"/>
        <v>63134.877</v>
      </c>
      <c r="S7" s="3">
        <f t="shared" ca="1" si="0"/>
        <v>63119.199999999997</v>
      </c>
      <c r="T7" s="3">
        <f t="shared" ca="1" si="0"/>
        <v>63130.709000000003</v>
      </c>
      <c r="U7" s="3">
        <f t="shared" ca="1" si="0"/>
        <v>63123.038</v>
      </c>
      <c r="W7" s="3">
        <f t="shared" ca="1" si="3"/>
        <v>63150.607300000011</v>
      </c>
      <c r="Y7" s="3">
        <f ca="1">Total!E7</f>
        <v>63035.512000000002</v>
      </c>
      <c r="AB7" s="3">
        <f t="shared" ca="1" si="1"/>
        <v>2.4963706172482676E-3</v>
      </c>
      <c r="AC7" s="3">
        <f t="shared" ca="1" si="1"/>
        <v>1.3220642992476928E-3</v>
      </c>
      <c r="AD7" s="3">
        <f t="shared" ca="1" si="1"/>
        <v>1.7305166014990928E-3</v>
      </c>
      <c r="AE7" s="3">
        <f t="shared" ca="1" si="1"/>
        <v>2.5961715040880135E-3</v>
      </c>
      <c r="AF7" s="3">
        <f t="shared" ca="1" si="1"/>
        <v>2.1679842943132786E-3</v>
      </c>
      <c r="AG7" s="3">
        <f t="shared" ca="1" si="1"/>
        <v>2.142998378437842E-3</v>
      </c>
      <c r="AH7" s="3">
        <f t="shared" ca="1" si="1"/>
        <v>1.5763336704554404E-3</v>
      </c>
      <c r="AI7" s="3">
        <f t="shared" ca="1" si="1"/>
        <v>1.3276325890712944E-3</v>
      </c>
      <c r="AJ7" s="3">
        <f t="shared" ca="1" si="1"/>
        <v>1.5102122118084821E-3</v>
      </c>
      <c r="AK7" s="3">
        <f t="shared" ca="1" si="1"/>
        <v>1.3885189034396677E-3</v>
      </c>
      <c r="AM7" s="3">
        <f t="shared" ca="1" si="4"/>
        <v>1.8258803069609073E-2</v>
      </c>
    </row>
    <row r="8" spans="1:39" x14ac:dyDescent="0.25">
      <c r="A8" s="3" t="s">
        <v>2</v>
      </c>
      <c r="B8" s="3">
        <v>24</v>
      </c>
      <c r="C8" s="3">
        <v>1</v>
      </c>
      <c r="D8" s="3">
        <v>55966.379000000001</v>
      </c>
      <c r="E8" s="3">
        <v>1.2370000000000001</v>
      </c>
      <c r="F8" s="3">
        <v>176</v>
      </c>
      <c r="H8" s="3" t="s">
        <v>0</v>
      </c>
      <c r="I8" s="3">
        <v>25</v>
      </c>
      <c r="J8" s="3">
        <v>1</v>
      </c>
      <c r="L8" s="3">
        <f t="shared" ca="1" si="2"/>
        <v>722.96500000000003</v>
      </c>
      <c r="M8" s="3">
        <f t="shared" ca="1" si="0"/>
        <v>723.15800000000002</v>
      </c>
      <c r="N8" s="3">
        <f t="shared" ca="1" si="0"/>
        <v>723.60199999999998</v>
      </c>
      <c r="O8" s="3">
        <f t="shared" ca="1" si="0"/>
        <v>722.96699999999998</v>
      </c>
      <c r="P8" s="3">
        <f t="shared" ca="1" si="0"/>
        <v>723.05200000000002</v>
      </c>
      <c r="Q8" s="3">
        <f t="shared" ca="1" si="0"/>
        <v>723.67100000000005</v>
      </c>
      <c r="R8" s="3">
        <f t="shared" ca="1" si="0"/>
        <v>722.96500000000003</v>
      </c>
      <c r="S8" s="3">
        <f t="shared" ca="1" si="0"/>
        <v>723.73099999999999</v>
      </c>
      <c r="T8" s="3">
        <f t="shared" ca="1" si="0"/>
        <v>722.98800000000006</v>
      </c>
      <c r="U8" s="3">
        <f t="shared" ca="1" si="0"/>
        <v>723.56100000000004</v>
      </c>
      <c r="W8" s="3">
        <f t="shared" ca="1" si="3"/>
        <v>723.26599999999996</v>
      </c>
      <c r="Y8" s="3">
        <f ca="1">Total!E8</f>
        <v>722.92</v>
      </c>
      <c r="AB8" s="3">
        <f t="shared" ca="1" si="1"/>
        <v>6.2247551596404527E-5</v>
      </c>
      <c r="AC8" s="3">
        <f t="shared" ca="1" si="1"/>
        <v>3.292203839983074E-4</v>
      </c>
      <c r="AD8" s="3">
        <f t="shared" ca="1" si="1"/>
        <v>9.4339622641511701E-4</v>
      </c>
      <c r="AE8" s="3">
        <f t="shared" ca="1" si="1"/>
        <v>6.5014109445063727E-5</v>
      </c>
      <c r="AF8" s="3">
        <f t="shared" ca="1" si="1"/>
        <v>1.8259281801591027E-4</v>
      </c>
      <c r="AG8" s="3">
        <f t="shared" ca="1" si="1"/>
        <v>1.0388424721962182E-3</v>
      </c>
      <c r="AH8" s="3">
        <f t="shared" ca="1" si="1"/>
        <v>6.2247551596404527E-5</v>
      </c>
      <c r="AI8" s="3">
        <f t="shared" ca="1" si="1"/>
        <v>1.1218392076578813E-3</v>
      </c>
      <c r="AJ8" s="3">
        <f t="shared" ca="1" si="1"/>
        <v>9.4062966856771587E-5</v>
      </c>
      <c r="AK8" s="3">
        <f t="shared" ca="1" si="1"/>
        <v>8.8668179051634548E-4</v>
      </c>
      <c r="AM8" s="3">
        <f t="shared" ca="1" si="4"/>
        <v>4.7861450782944242E-3</v>
      </c>
    </row>
    <row r="9" spans="1:39" x14ac:dyDescent="0.25">
      <c r="A9" s="3" t="s">
        <v>2</v>
      </c>
      <c r="B9" s="3">
        <v>24</v>
      </c>
      <c r="C9" s="3">
        <v>1</v>
      </c>
      <c r="D9" s="3">
        <v>55994.298999999999</v>
      </c>
      <c r="E9" s="3">
        <v>1.2390000000000001</v>
      </c>
      <c r="F9" s="3">
        <v>171</v>
      </c>
      <c r="H9" s="3" t="s">
        <v>0</v>
      </c>
      <c r="I9" s="3">
        <v>50</v>
      </c>
      <c r="J9" s="3">
        <v>1</v>
      </c>
      <c r="L9" s="3">
        <f t="shared" ca="1" si="2"/>
        <v>1572.36</v>
      </c>
      <c r="M9" s="3">
        <f t="shared" ca="1" si="0"/>
        <v>1572.5530000000001</v>
      </c>
      <c r="N9" s="3">
        <f t="shared" ca="1" si="0"/>
        <v>1573.3489999999999</v>
      </c>
      <c r="O9" s="3">
        <f t="shared" ca="1" si="0"/>
        <v>1572.893</v>
      </c>
      <c r="P9" s="3">
        <f t="shared" ca="1" si="0"/>
        <v>1572.7739999999999</v>
      </c>
      <c r="Q9" s="3">
        <f t="shared" ca="1" si="0"/>
        <v>1572.597</v>
      </c>
      <c r="R9" s="3">
        <f t="shared" ca="1" si="0"/>
        <v>1572.6479999999999</v>
      </c>
      <c r="S9" s="3">
        <f t="shared" ca="1" si="0"/>
        <v>1572.925</v>
      </c>
      <c r="T9" s="3">
        <f t="shared" ca="1" si="0"/>
        <v>1571.874</v>
      </c>
      <c r="U9" s="3">
        <f t="shared" ca="1" si="0"/>
        <v>1572.1669999999999</v>
      </c>
      <c r="W9" s="3">
        <f t="shared" ca="1" si="3"/>
        <v>1572.6139999999998</v>
      </c>
      <c r="Y9" s="3">
        <f ca="1">Total!E9</f>
        <v>1570.17</v>
      </c>
      <c r="AB9" s="3">
        <f t="shared" ca="1" si="1"/>
        <v>1.3947534343413943E-3</v>
      </c>
      <c r="AC9" s="3">
        <f t="shared" ca="1" si="1"/>
        <v>1.5176700612035882E-3</v>
      </c>
      <c r="AD9" s="3">
        <f t="shared" ca="1" si="1"/>
        <v>2.0246215377951811E-3</v>
      </c>
      <c r="AE9" s="3">
        <f t="shared" ca="1" si="1"/>
        <v>1.7342071240693405E-3</v>
      </c>
      <c r="AF9" s="3">
        <f t="shared" ca="1" si="1"/>
        <v>1.6584191520662185E-3</v>
      </c>
      <c r="AG9" s="3">
        <f t="shared" ca="1" si="1"/>
        <v>1.5456925046331972E-3</v>
      </c>
      <c r="AH9" s="3">
        <f t="shared" ca="1" si="1"/>
        <v>1.5781730640630238E-3</v>
      </c>
      <c r="AI9" s="3">
        <f t="shared" ca="1" si="1"/>
        <v>1.7545870829272509E-3</v>
      </c>
      <c r="AJ9" s="3">
        <f t="shared" ca="1" si="1"/>
        <v>1.0852328091862352E-3</v>
      </c>
      <c r="AK9" s="3">
        <f t="shared" ca="1" si="1"/>
        <v>1.2718368074793453E-3</v>
      </c>
      <c r="AM9" s="3">
        <f t="shared" ca="1" si="4"/>
        <v>1.5565193577764777E-2</v>
      </c>
    </row>
    <row r="10" spans="1:39" x14ac:dyDescent="0.25">
      <c r="A10" s="3" t="s">
        <v>2</v>
      </c>
      <c r="B10" s="3">
        <v>24</v>
      </c>
      <c r="C10" s="3">
        <v>1</v>
      </c>
      <c r="D10" s="3">
        <v>55958.758999999998</v>
      </c>
      <c r="E10" s="3">
        <v>1.2350000000000001</v>
      </c>
      <c r="F10" s="3">
        <v>163</v>
      </c>
      <c r="H10" s="3" t="s">
        <v>28</v>
      </c>
      <c r="I10" s="3">
        <v>100</v>
      </c>
      <c r="J10" s="3">
        <v>1</v>
      </c>
      <c r="L10" s="3">
        <f t="shared" ca="1" si="2"/>
        <v>3311.5709999999999</v>
      </c>
      <c r="M10" s="3">
        <f t="shared" ca="1" si="0"/>
        <v>3311.7109999999998</v>
      </c>
      <c r="N10" s="3">
        <f t="shared" ca="1" si="0"/>
        <v>3300.279</v>
      </c>
      <c r="O10" s="3">
        <f t="shared" ca="1" si="0"/>
        <v>3308.0129999999999</v>
      </c>
      <c r="P10" s="3">
        <f t="shared" ca="1" si="0"/>
        <v>3302.5680000000002</v>
      </c>
      <c r="Q10" s="3">
        <f t="shared" ca="1" si="0"/>
        <v>3313.2449999999999</v>
      </c>
      <c r="R10" s="3">
        <f t="shared" ca="1" si="0"/>
        <v>3309.54</v>
      </c>
      <c r="S10" s="3">
        <f t="shared" ca="1" si="0"/>
        <v>3315.962</v>
      </c>
      <c r="T10" s="3">
        <f t="shared" ca="1" si="0"/>
        <v>3302.9580000000001</v>
      </c>
      <c r="U10" s="3">
        <f t="shared" ca="1" si="0"/>
        <v>3313.4059999999999</v>
      </c>
      <c r="W10" s="3">
        <f t="shared" ca="1" si="3"/>
        <v>3308.9252999999999</v>
      </c>
      <c r="Y10" s="3">
        <f ca="1">Total!E10</f>
        <v>3290.5340000000001</v>
      </c>
      <c r="AB10" s="3">
        <f t="shared" ca="1" si="1"/>
        <v>6.3931872455959445E-3</v>
      </c>
      <c r="AC10" s="3">
        <f t="shared" ca="1" si="1"/>
        <v>6.4357335313963262E-3</v>
      </c>
      <c r="AD10" s="3">
        <f t="shared" ca="1" si="1"/>
        <v>2.9615253937506467E-3</v>
      </c>
      <c r="AE10" s="3">
        <f t="shared" ca="1" si="1"/>
        <v>5.3119037821824098E-3</v>
      </c>
      <c r="AF10" s="3">
        <f t="shared" ca="1" si="1"/>
        <v>3.657157166587583E-3</v>
      </c>
      <c r="AG10" s="3">
        <f t="shared" ca="1" si="1"/>
        <v>6.9019192629523919E-3</v>
      </c>
      <c r="AH10" s="3">
        <f t="shared" ca="1" si="1"/>
        <v>5.7759621994484351E-3</v>
      </c>
      <c r="AI10" s="3">
        <f t="shared" ca="1" si="1"/>
        <v>7.7276211095220057E-3</v>
      </c>
      <c r="AJ10" s="3">
        <f t="shared" ca="1" si="1"/>
        <v>3.7756789627458576E-3</v>
      </c>
      <c r="AK10" s="3">
        <f t="shared" ca="1" si="1"/>
        <v>6.9508474916228922E-3</v>
      </c>
      <c r="AM10" s="3">
        <f t="shared" ca="1" si="4"/>
        <v>5.5891536145804492E-2</v>
      </c>
    </row>
    <row r="11" spans="1:39" x14ac:dyDescent="0.25">
      <c r="A11" s="3" t="s">
        <v>2</v>
      </c>
      <c r="B11" s="3">
        <v>47</v>
      </c>
      <c r="C11" s="3">
        <v>1</v>
      </c>
      <c r="D11" s="3">
        <v>126312.162</v>
      </c>
      <c r="E11" s="3">
        <v>4.149</v>
      </c>
      <c r="F11" s="3">
        <v>150</v>
      </c>
    </row>
    <row r="12" spans="1:39" x14ac:dyDescent="0.25">
      <c r="A12" s="3" t="s">
        <v>2</v>
      </c>
      <c r="B12" s="3">
        <v>47</v>
      </c>
      <c r="C12" s="3">
        <v>1</v>
      </c>
      <c r="D12" s="3">
        <v>126288.356</v>
      </c>
      <c r="E12" s="3">
        <v>4.1509999999999998</v>
      </c>
      <c r="F12" s="3">
        <v>157</v>
      </c>
    </row>
    <row r="13" spans="1:39" x14ac:dyDescent="0.25">
      <c r="A13" s="3" t="s">
        <v>2</v>
      </c>
      <c r="B13" s="3">
        <v>47</v>
      </c>
      <c r="C13" s="3">
        <v>1</v>
      </c>
      <c r="D13" s="3">
        <v>126290.621</v>
      </c>
      <c r="E13" s="3">
        <v>4.1539999999999999</v>
      </c>
      <c r="F13" s="3">
        <v>152</v>
      </c>
    </row>
    <row r="14" spans="1:39" x14ac:dyDescent="0.25">
      <c r="A14" s="3" t="s">
        <v>2</v>
      </c>
      <c r="B14" s="3">
        <v>47</v>
      </c>
      <c r="C14" s="3">
        <v>1</v>
      </c>
      <c r="D14" s="3">
        <v>126369.01300000001</v>
      </c>
      <c r="E14" s="3">
        <v>4.1509999999999998</v>
      </c>
      <c r="F14" s="3">
        <v>151</v>
      </c>
    </row>
    <row r="15" spans="1:39" x14ac:dyDescent="0.25">
      <c r="A15" s="3" t="s">
        <v>2</v>
      </c>
      <c r="B15" s="3">
        <v>47</v>
      </c>
      <c r="C15" s="3">
        <v>1</v>
      </c>
      <c r="D15" s="3">
        <v>126199.272</v>
      </c>
      <c r="E15" s="3">
        <v>4.1479999999999997</v>
      </c>
      <c r="F15" s="3">
        <v>150</v>
      </c>
    </row>
    <row r="16" spans="1:39" x14ac:dyDescent="0.25">
      <c r="A16" s="3" t="s">
        <v>2</v>
      </c>
      <c r="B16" s="3">
        <v>47</v>
      </c>
      <c r="C16" s="3">
        <v>1</v>
      </c>
      <c r="D16" s="3">
        <v>126398.29700000001</v>
      </c>
      <c r="E16" s="3">
        <v>4.1539999999999999</v>
      </c>
      <c r="F16" s="3">
        <v>150</v>
      </c>
    </row>
    <row r="17" spans="1:6" x14ac:dyDescent="0.25">
      <c r="A17" s="3" t="s">
        <v>2</v>
      </c>
      <c r="B17" s="3">
        <v>47</v>
      </c>
      <c r="C17" s="3">
        <v>1</v>
      </c>
      <c r="D17" s="3">
        <v>126288.79300000001</v>
      </c>
      <c r="E17" s="3">
        <v>4.141</v>
      </c>
      <c r="F17" s="3">
        <v>150</v>
      </c>
    </row>
    <row r="18" spans="1:6" x14ac:dyDescent="0.25">
      <c r="A18" s="3" t="s">
        <v>2</v>
      </c>
      <c r="B18" s="3">
        <v>47</v>
      </c>
      <c r="C18" s="3">
        <v>1</v>
      </c>
      <c r="D18" s="3">
        <v>126302.016</v>
      </c>
      <c r="E18" s="3">
        <v>4.17</v>
      </c>
      <c r="F18" s="3">
        <v>151</v>
      </c>
    </row>
    <row r="19" spans="1:6" x14ac:dyDescent="0.25">
      <c r="A19" s="3" t="s">
        <v>2</v>
      </c>
      <c r="B19" s="3">
        <v>47</v>
      </c>
      <c r="C19" s="3">
        <v>1</v>
      </c>
      <c r="D19" s="3">
        <v>126307.96</v>
      </c>
      <c r="E19" s="3">
        <v>4.1529999999999996</v>
      </c>
      <c r="F19" s="3">
        <v>148</v>
      </c>
    </row>
    <row r="20" spans="1:6" x14ac:dyDescent="0.25">
      <c r="A20" s="3" t="s">
        <v>2</v>
      </c>
      <c r="B20" s="3">
        <v>47</v>
      </c>
      <c r="C20" s="3">
        <v>1</v>
      </c>
      <c r="D20" s="3">
        <v>126226.42600000001</v>
      </c>
      <c r="E20" s="3">
        <v>4.1390000000000002</v>
      </c>
      <c r="F20" s="3">
        <v>152</v>
      </c>
    </row>
    <row r="21" spans="1:6" x14ac:dyDescent="0.25">
      <c r="A21" s="3" t="s">
        <v>2</v>
      </c>
      <c r="B21" s="3">
        <v>100</v>
      </c>
      <c r="C21" s="3">
        <v>1</v>
      </c>
      <c r="D21" s="3">
        <v>1216950.9750000001</v>
      </c>
      <c r="E21" s="3">
        <v>22.111000000000001</v>
      </c>
      <c r="F21" s="3">
        <v>159</v>
      </c>
    </row>
    <row r="22" spans="1:6" x14ac:dyDescent="0.25">
      <c r="A22" s="3" t="s">
        <v>2</v>
      </c>
      <c r="B22" s="3">
        <v>100</v>
      </c>
      <c r="C22" s="3">
        <v>1</v>
      </c>
      <c r="D22" s="3">
        <v>1216974.865</v>
      </c>
      <c r="E22" s="3">
        <v>22.062000000000001</v>
      </c>
      <c r="F22" s="3">
        <v>160</v>
      </c>
    </row>
    <row r="23" spans="1:6" x14ac:dyDescent="0.25">
      <c r="A23" s="3" t="s">
        <v>2</v>
      </c>
      <c r="B23" s="3">
        <v>100</v>
      </c>
      <c r="C23" s="3">
        <v>1</v>
      </c>
      <c r="D23" s="3">
        <v>1216996.7220000001</v>
      </c>
      <c r="E23" s="3">
        <v>22.067</v>
      </c>
      <c r="F23" s="3">
        <v>161</v>
      </c>
    </row>
    <row r="24" spans="1:6" x14ac:dyDescent="0.25">
      <c r="A24" s="3" t="s">
        <v>2</v>
      </c>
      <c r="B24" s="3">
        <v>100</v>
      </c>
      <c r="C24" s="3">
        <v>1</v>
      </c>
      <c r="D24" s="3">
        <v>1217261.406</v>
      </c>
      <c r="E24" s="3">
        <v>22.09</v>
      </c>
      <c r="F24" s="3">
        <v>161</v>
      </c>
    </row>
    <row r="25" spans="1:6" x14ac:dyDescent="0.25">
      <c r="A25" s="3" t="s">
        <v>2</v>
      </c>
      <c r="B25" s="3">
        <v>100</v>
      </c>
      <c r="C25" s="3">
        <v>1</v>
      </c>
      <c r="D25" s="3">
        <v>1217945.8529999999</v>
      </c>
      <c r="E25" s="3">
        <v>22.108000000000001</v>
      </c>
      <c r="F25" s="3">
        <v>161</v>
      </c>
    </row>
    <row r="26" spans="1:6" x14ac:dyDescent="0.25">
      <c r="A26" s="3" t="s">
        <v>2</v>
      </c>
      <c r="B26" s="3">
        <v>100</v>
      </c>
      <c r="C26" s="3">
        <v>1</v>
      </c>
      <c r="D26" s="3">
        <v>1216980.4310000001</v>
      </c>
      <c r="E26" s="3">
        <v>22.137</v>
      </c>
      <c r="F26" s="3">
        <v>162</v>
      </c>
    </row>
    <row r="27" spans="1:6" x14ac:dyDescent="0.25">
      <c r="A27" s="3" t="s">
        <v>2</v>
      </c>
      <c r="B27" s="3">
        <v>100</v>
      </c>
      <c r="C27" s="3">
        <v>1</v>
      </c>
      <c r="D27" s="3">
        <v>1217493.632</v>
      </c>
      <c r="E27" s="3">
        <v>22.100999999999999</v>
      </c>
      <c r="F27" s="3">
        <v>160</v>
      </c>
    </row>
    <row r="28" spans="1:6" x14ac:dyDescent="0.25">
      <c r="A28" s="3" t="s">
        <v>2</v>
      </c>
      <c r="B28" s="3">
        <v>100</v>
      </c>
      <c r="C28" s="3">
        <v>1</v>
      </c>
      <c r="D28" s="3">
        <v>1217765.395</v>
      </c>
      <c r="E28" s="3">
        <v>22.074000000000002</v>
      </c>
      <c r="F28" s="3">
        <v>161</v>
      </c>
    </row>
    <row r="29" spans="1:6" x14ac:dyDescent="0.25">
      <c r="A29" s="3" t="s">
        <v>2</v>
      </c>
      <c r="B29" s="3">
        <v>100</v>
      </c>
      <c r="C29" s="3">
        <v>1</v>
      </c>
      <c r="D29" s="3">
        <v>1216978.2180000001</v>
      </c>
      <c r="E29" s="3">
        <v>22.128</v>
      </c>
      <c r="F29" s="3">
        <v>159</v>
      </c>
    </row>
    <row r="30" spans="1:6" x14ac:dyDescent="0.25">
      <c r="A30" s="3" t="s">
        <v>2</v>
      </c>
      <c r="B30" s="3">
        <v>100</v>
      </c>
      <c r="C30" s="3">
        <v>1</v>
      </c>
      <c r="D30" s="3">
        <v>1217177.4310000001</v>
      </c>
      <c r="E30" s="3">
        <v>22.146999999999998</v>
      </c>
      <c r="F30" s="3">
        <v>161</v>
      </c>
    </row>
    <row r="31" spans="1:6" x14ac:dyDescent="0.25">
      <c r="A31" s="3" t="s">
        <v>1</v>
      </c>
      <c r="B31" s="3">
        <v>30</v>
      </c>
      <c r="C31" s="3">
        <v>1</v>
      </c>
      <c r="D31" s="3">
        <v>20038.095000000001</v>
      </c>
      <c r="E31" s="3">
        <v>1.351</v>
      </c>
      <c r="F31" s="3">
        <v>109</v>
      </c>
    </row>
    <row r="32" spans="1:6" x14ac:dyDescent="0.25">
      <c r="A32" s="3" t="s">
        <v>1</v>
      </c>
      <c r="B32" s="3">
        <v>30</v>
      </c>
      <c r="C32" s="3">
        <v>1</v>
      </c>
      <c r="D32" s="3">
        <v>20003.606</v>
      </c>
      <c r="E32" s="3">
        <v>1.3520000000000001</v>
      </c>
      <c r="F32" s="3">
        <v>106</v>
      </c>
    </row>
    <row r="33" spans="1:6" x14ac:dyDescent="0.25">
      <c r="A33" s="3" t="s">
        <v>1</v>
      </c>
      <c r="B33" s="3">
        <v>30</v>
      </c>
      <c r="C33" s="3">
        <v>1</v>
      </c>
      <c r="D33" s="3">
        <v>19991.281999999999</v>
      </c>
      <c r="E33" s="3">
        <v>1.353</v>
      </c>
      <c r="F33" s="3">
        <v>114</v>
      </c>
    </row>
    <row r="34" spans="1:6" x14ac:dyDescent="0.25">
      <c r="A34" s="3" t="s">
        <v>1</v>
      </c>
      <c r="B34" s="3">
        <v>30</v>
      </c>
      <c r="C34" s="3">
        <v>1</v>
      </c>
      <c r="D34" s="3">
        <v>20001.399000000001</v>
      </c>
      <c r="E34" s="3">
        <v>1.3460000000000001</v>
      </c>
      <c r="F34" s="3">
        <v>111</v>
      </c>
    </row>
    <row r="35" spans="1:6" x14ac:dyDescent="0.25">
      <c r="A35" s="3" t="s">
        <v>1</v>
      </c>
      <c r="B35" s="3">
        <v>30</v>
      </c>
      <c r="C35" s="3">
        <v>1</v>
      </c>
      <c r="D35" s="3">
        <v>20006.373</v>
      </c>
      <c r="E35" s="3">
        <v>1.363</v>
      </c>
      <c r="F35" s="3">
        <v>108</v>
      </c>
    </row>
    <row r="36" spans="1:6" x14ac:dyDescent="0.25">
      <c r="A36" s="3" t="s">
        <v>1</v>
      </c>
      <c r="B36" s="3">
        <v>30</v>
      </c>
      <c r="C36" s="3">
        <v>1</v>
      </c>
      <c r="D36" s="3">
        <v>20009.973999999998</v>
      </c>
      <c r="E36" s="3">
        <v>1.3540000000000001</v>
      </c>
      <c r="F36" s="3">
        <v>110</v>
      </c>
    </row>
    <row r="37" spans="1:6" x14ac:dyDescent="0.25">
      <c r="A37" s="3" t="s">
        <v>1</v>
      </c>
      <c r="B37" s="3">
        <v>30</v>
      </c>
      <c r="C37" s="3">
        <v>1</v>
      </c>
      <c r="D37" s="3">
        <v>20058.728999999999</v>
      </c>
      <c r="E37" s="3">
        <v>1.3460000000000001</v>
      </c>
      <c r="F37" s="3">
        <v>111</v>
      </c>
    </row>
    <row r="38" spans="1:6" x14ac:dyDescent="0.25">
      <c r="A38" s="3" t="s">
        <v>1</v>
      </c>
      <c r="B38" s="3">
        <v>30</v>
      </c>
      <c r="C38" s="3">
        <v>1</v>
      </c>
      <c r="D38" s="3">
        <v>19980.897000000001</v>
      </c>
      <c r="E38" s="3">
        <v>1.351</v>
      </c>
      <c r="F38" s="3">
        <v>108</v>
      </c>
    </row>
    <row r="39" spans="1:6" x14ac:dyDescent="0.25">
      <c r="A39" s="3" t="s">
        <v>1</v>
      </c>
      <c r="B39" s="3">
        <v>30</v>
      </c>
      <c r="C39" s="3">
        <v>1</v>
      </c>
      <c r="D39" s="3">
        <v>19987.314999999999</v>
      </c>
      <c r="E39" s="3">
        <v>1.3460000000000001</v>
      </c>
      <c r="F39" s="3">
        <v>99</v>
      </c>
    </row>
    <row r="40" spans="1:6" x14ac:dyDescent="0.25">
      <c r="A40" s="3" t="s">
        <v>1</v>
      </c>
      <c r="B40" s="3">
        <v>30</v>
      </c>
      <c r="C40" s="3">
        <v>1</v>
      </c>
      <c r="D40" s="3">
        <v>20021.825000000001</v>
      </c>
      <c r="E40" s="3">
        <v>1.35</v>
      </c>
      <c r="F40" s="3">
        <v>115</v>
      </c>
    </row>
    <row r="41" spans="1:6" x14ac:dyDescent="0.25">
      <c r="A41" s="3" t="s">
        <v>1</v>
      </c>
      <c r="B41" s="3">
        <v>50</v>
      </c>
      <c r="C41" s="3">
        <v>1</v>
      </c>
      <c r="D41" s="3">
        <v>35513.589</v>
      </c>
      <c r="E41" s="3">
        <v>3.0430000000000001</v>
      </c>
      <c r="F41" s="3">
        <v>93</v>
      </c>
    </row>
    <row r="42" spans="1:6" x14ac:dyDescent="0.25">
      <c r="A42" s="3" t="s">
        <v>1</v>
      </c>
      <c r="B42" s="3">
        <v>50</v>
      </c>
      <c r="C42" s="3">
        <v>1</v>
      </c>
      <c r="D42" s="3">
        <v>35458.754000000001</v>
      </c>
      <c r="E42" s="3">
        <v>3.0430000000000001</v>
      </c>
      <c r="F42" s="3">
        <v>92</v>
      </c>
    </row>
    <row r="43" spans="1:6" x14ac:dyDescent="0.25">
      <c r="A43" s="3" t="s">
        <v>1</v>
      </c>
      <c r="B43" s="3">
        <v>50</v>
      </c>
      <c r="C43" s="3">
        <v>1</v>
      </c>
      <c r="D43" s="3">
        <v>35455.508999999998</v>
      </c>
      <c r="E43" s="3">
        <v>3.0350000000000001</v>
      </c>
      <c r="F43" s="3">
        <v>94</v>
      </c>
    </row>
    <row r="44" spans="1:6" x14ac:dyDescent="0.25">
      <c r="A44" s="3" t="s">
        <v>1</v>
      </c>
      <c r="B44" s="3">
        <v>50</v>
      </c>
      <c r="C44" s="3">
        <v>1</v>
      </c>
      <c r="D44" s="3">
        <v>35457.728999999999</v>
      </c>
      <c r="E44" s="3">
        <v>3.0329999999999999</v>
      </c>
      <c r="F44" s="3">
        <v>92</v>
      </c>
    </row>
    <row r="45" spans="1:6" x14ac:dyDescent="0.25">
      <c r="A45" s="3" t="s">
        <v>1</v>
      </c>
      <c r="B45" s="3">
        <v>50</v>
      </c>
      <c r="C45" s="3">
        <v>1</v>
      </c>
      <c r="D45" s="3">
        <v>35481.468000000001</v>
      </c>
      <c r="E45" s="3">
        <v>3.044</v>
      </c>
      <c r="F45" s="3">
        <v>98</v>
      </c>
    </row>
    <row r="46" spans="1:6" x14ac:dyDescent="0.25">
      <c r="A46" s="3" t="s">
        <v>1</v>
      </c>
      <c r="B46" s="3">
        <v>50</v>
      </c>
      <c r="C46" s="3">
        <v>1</v>
      </c>
      <c r="D46" s="3">
        <v>35463.682000000001</v>
      </c>
      <c r="E46" s="3">
        <v>3.05</v>
      </c>
      <c r="F46" s="3">
        <v>92</v>
      </c>
    </row>
    <row r="47" spans="1:6" x14ac:dyDescent="0.25">
      <c r="A47" s="3" t="s">
        <v>1</v>
      </c>
      <c r="B47" s="3">
        <v>50</v>
      </c>
      <c r="C47" s="3">
        <v>1</v>
      </c>
      <c r="D47" s="3">
        <v>35439.642999999996</v>
      </c>
      <c r="E47" s="3">
        <v>3.0449999999999999</v>
      </c>
      <c r="F47" s="3">
        <v>94</v>
      </c>
    </row>
    <row r="48" spans="1:6" x14ac:dyDescent="0.25">
      <c r="A48" s="3" t="s">
        <v>1</v>
      </c>
      <c r="B48" s="3">
        <v>50</v>
      </c>
      <c r="C48" s="3">
        <v>1</v>
      </c>
      <c r="D48" s="3">
        <v>35438.991000000002</v>
      </c>
      <c r="E48" s="3">
        <v>3.0390000000000001</v>
      </c>
      <c r="F48" s="3">
        <v>95</v>
      </c>
    </row>
    <row r="49" spans="1:6" x14ac:dyDescent="0.25">
      <c r="A49" s="3" t="s">
        <v>1</v>
      </c>
      <c r="B49" s="3">
        <v>50</v>
      </c>
      <c r="C49" s="3">
        <v>1</v>
      </c>
      <c r="D49" s="3">
        <v>35440.978000000003</v>
      </c>
      <c r="E49" s="3">
        <v>3.0430000000000001</v>
      </c>
      <c r="F49" s="3">
        <v>94</v>
      </c>
    </row>
    <row r="50" spans="1:6" x14ac:dyDescent="0.25">
      <c r="A50" s="3" t="s">
        <v>1</v>
      </c>
      <c r="B50" s="3">
        <v>50</v>
      </c>
      <c r="C50" s="3">
        <v>1</v>
      </c>
      <c r="D50" s="3">
        <v>35390.487999999998</v>
      </c>
      <c r="E50" s="3">
        <v>3.0529999999999999</v>
      </c>
      <c r="F50" s="3">
        <v>96</v>
      </c>
    </row>
    <row r="51" spans="1:6" x14ac:dyDescent="0.25">
      <c r="A51" s="3" t="s">
        <v>1</v>
      </c>
      <c r="B51" s="3">
        <v>100</v>
      </c>
      <c r="C51" s="3">
        <v>1</v>
      </c>
      <c r="D51" s="3">
        <v>63192.872000000003</v>
      </c>
      <c r="E51" s="3">
        <v>11.708</v>
      </c>
      <c r="F51" s="3">
        <v>86</v>
      </c>
    </row>
    <row r="52" spans="1:6" x14ac:dyDescent="0.25">
      <c r="A52" s="3" t="s">
        <v>1</v>
      </c>
      <c r="B52" s="3">
        <v>100</v>
      </c>
      <c r="C52" s="3">
        <v>1</v>
      </c>
      <c r="D52" s="3">
        <v>63118.849000000002</v>
      </c>
      <c r="E52" s="3">
        <v>11.737</v>
      </c>
      <c r="F52" s="3">
        <v>86</v>
      </c>
    </row>
    <row r="53" spans="1:6" x14ac:dyDescent="0.25">
      <c r="A53" s="3" t="s">
        <v>1</v>
      </c>
      <c r="B53" s="3">
        <v>100</v>
      </c>
      <c r="C53" s="3">
        <v>1</v>
      </c>
      <c r="D53" s="3">
        <v>63144.595999999998</v>
      </c>
      <c r="E53" s="3">
        <v>11.734999999999999</v>
      </c>
      <c r="F53" s="3">
        <v>86</v>
      </c>
    </row>
    <row r="54" spans="1:6" x14ac:dyDescent="0.25">
      <c r="A54" s="3" t="s">
        <v>1</v>
      </c>
      <c r="B54" s="3">
        <v>100</v>
      </c>
      <c r="C54" s="3">
        <v>1</v>
      </c>
      <c r="D54" s="3">
        <v>63199.163</v>
      </c>
      <c r="E54" s="3">
        <v>11.686999999999999</v>
      </c>
      <c r="F54" s="3">
        <v>85</v>
      </c>
    </row>
    <row r="55" spans="1:6" x14ac:dyDescent="0.25">
      <c r="A55" s="3" t="s">
        <v>1</v>
      </c>
      <c r="B55" s="3">
        <v>100</v>
      </c>
      <c r="C55" s="3">
        <v>1</v>
      </c>
      <c r="D55" s="3">
        <v>63172.171999999999</v>
      </c>
      <c r="E55" s="3">
        <v>11.734</v>
      </c>
      <c r="F55" s="3">
        <v>86</v>
      </c>
    </row>
    <row r="56" spans="1:6" x14ac:dyDescent="0.25">
      <c r="A56" s="3" t="s">
        <v>1</v>
      </c>
      <c r="B56" s="3">
        <v>100</v>
      </c>
      <c r="C56" s="3">
        <v>1</v>
      </c>
      <c r="D56" s="3">
        <v>63170.597000000002</v>
      </c>
      <c r="E56" s="3">
        <v>11.752000000000001</v>
      </c>
      <c r="F56" s="3">
        <v>86</v>
      </c>
    </row>
    <row r="57" spans="1:6" x14ac:dyDescent="0.25">
      <c r="A57" s="3" t="s">
        <v>1</v>
      </c>
      <c r="B57" s="3">
        <v>100</v>
      </c>
      <c r="C57" s="3">
        <v>1</v>
      </c>
      <c r="D57" s="3">
        <v>63134.877</v>
      </c>
      <c r="E57" s="3">
        <v>11.689</v>
      </c>
      <c r="F57" s="3">
        <v>86</v>
      </c>
    </row>
    <row r="58" spans="1:6" x14ac:dyDescent="0.25">
      <c r="A58" s="3" t="s">
        <v>1</v>
      </c>
      <c r="B58" s="3">
        <v>100</v>
      </c>
      <c r="C58" s="3">
        <v>1</v>
      </c>
      <c r="D58" s="3">
        <v>63119.199999999997</v>
      </c>
      <c r="E58" s="3">
        <v>11.742000000000001</v>
      </c>
      <c r="F58" s="3">
        <v>87</v>
      </c>
    </row>
    <row r="59" spans="1:6" x14ac:dyDescent="0.25">
      <c r="A59" s="3" t="s">
        <v>1</v>
      </c>
      <c r="B59" s="3">
        <v>100</v>
      </c>
      <c r="C59" s="3">
        <v>1</v>
      </c>
      <c r="D59" s="3">
        <v>63130.709000000003</v>
      </c>
      <c r="E59" s="3">
        <v>11.7</v>
      </c>
      <c r="F59" s="3">
        <v>87</v>
      </c>
    </row>
    <row r="60" spans="1:6" x14ac:dyDescent="0.25">
      <c r="A60" s="3" t="s">
        <v>1</v>
      </c>
      <c r="B60" s="3">
        <v>100</v>
      </c>
      <c r="C60" s="3">
        <v>1</v>
      </c>
      <c r="D60" s="3">
        <v>63123.038</v>
      </c>
      <c r="E60" s="3">
        <v>11.686999999999999</v>
      </c>
      <c r="F60" s="3">
        <v>86</v>
      </c>
    </row>
    <row r="61" spans="1:6" x14ac:dyDescent="0.25">
      <c r="A61" s="3" t="s">
        <v>0</v>
      </c>
      <c r="B61" s="3">
        <v>25</v>
      </c>
      <c r="C61" s="3">
        <v>1</v>
      </c>
      <c r="D61" s="3">
        <v>722.96500000000003</v>
      </c>
      <c r="E61" s="3">
        <v>0.91300000000000003</v>
      </c>
      <c r="F61" s="3">
        <v>94</v>
      </c>
    </row>
    <row r="62" spans="1:6" x14ac:dyDescent="0.25">
      <c r="A62" s="3" t="s">
        <v>0</v>
      </c>
      <c r="B62" s="3">
        <v>25</v>
      </c>
      <c r="C62" s="3">
        <v>1</v>
      </c>
      <c r="D62" s="3">
        <v>723.15800000000002</v>
      </c>
      <c r="E62" s="3">
        <v>0.90400000000000003</v>
      </c>
      <c r="F62" s="3">
        <v>105</v>
      </c>
    </row>
    <row r="63" spans="1:6" x14ac:dyDescent="0.25">
      <c r="A63" s="3" t="s">
        <v>0</v>
      </c>
      <c r="B63" s="3">
        <v>25</v>
      </c>
      <c r="C63" s="3">
        <v>1</v>
      </c>
      <c r="D63" s="3">
        <v>723.60199999999998</v>
      </c>
      <c r="E63" s="3">
        <v>0.90800000000000003</v>
      </c>
      <c r="F63" s="3">
        <v>87</v>
      </c>
    </row>
    <row r="64" spans="1:6" x14ac:dyDescent="0.25">
      <c r="A64" s="3" t="s">
        <v>0</v>
      </c>
      <c r="B64" s="3">
        <v>25</v>
      </c>
      <c r="C64" s="3">
        <v>1</v>
      </c>
      <c r="D64" s="3">
        <v>722.96699999999998</v>
      </c>
      <c r="E64" s="3">
        <v>0.90400000000000003</v>
      </c>
      <c r="F64" s="3">
        <v>100</v>
      </c>
    </row>
    <row r="65" spans="1:6" x14ac:dyDescent="0.25">
      <c r="A65" s="3" t="s">
        <v>0</v>
      </c>
      <c r="B65" s="3">
        <v>25</v>
      </c>
      <c r="C65" s="3">
        <v>1</v>
      </c>
      <c r="D65" s="3">
        <v>723.05200000000002</v>
      </c>
      <c r="E65" s="3">
        <v>0.90500000000000003</v>
      </c>
      <c r="F65" s="3">
        <v>91</v>
      </c>
    </row>
    <row r="66" spans="1:6" x14ac:dyDescent="0.25">
      <c r="A66" s="3" t="s">
        <v>0</v>
      </c>
      <c r="B66" s="3">
        <v>25</v>
      </c>
      <c r="C66" s="3">
        <v>1</v>
      </c>
      <c r="D66" s="3">
        <v>723.67100000000005</v>
      </c>
      <c r="E66" s="3">
        <v>0.90300000000000002</v>
      </c>
      <c r="F66" s="3">
        <v>107</v>
      </c>
    </row>
    <row r="67" spans="1:6" x14ac:dyDescent="0.25">
      <c r="A67" s="3" t="s">
        <v>0</v>
      </c>
      <c r="B67" s="3">
        <v>25</v>
      </c>
      <c r="C67" s="3">
        <v>1</v>
      </c>
      <c r="D67" s="3">
        <v>722.96500000000003</v>
      </c>
      <c r="E67" s="3">
        <v>0.90400000000000003</v>
      </c>
      <c r="F67" s="3">
        <v>95</v>
      </c>
    </row>
    <row r="68" spans="1:6" x14ac:dyDescent="0.25">
      <c r="A68" s="3" t="s">
        <v>0</v>
      </c>
      <c r="B68" s="3">
        <v>25</v>
      </c>
      <c r="C68" s="3">
        <v>1</v>
      </c>
      <c r="D68" s="3">
        <v>723.73099999999999</v>
      </c>
      <c r="E68" s="3">
        <v>0.90700000000000003</v>
      </c>
      <c r="F68" s="3">
        <v>97</v>
      </c>
    </row>
    <row r="69" spans="1:6" x14ac:dyDescent="0.25">
      <c r="A69" s="3" t="s">
        <v>0</v>
      </c>
      <c r="B69" s="3">
        <v>25</v>
      </c>
      <c r="C69" s="3">
        <v>1</v>
      </c>
      <c r="D69" s="3">
        <v>722.98800000000006</v>
      </c>
      <c r="E69" s="3">
        <v>0.90400000000000003</v>
      </c>
      <c r="F69" s="3">
        <v>89</v>
      </c>
    </row>
    <row r="70" spans="1:6" x14ac:dyDescent="0.25">
      <c r="A70" s="3" t="s">
        <v>0</v>
      </c>
      <c r="B70" s="3">
        <v>25</v>
      </c>
      <c r="C70" s="3">
        <v>1</v>
      </c>
      <c r="D70" s="3">
        <v>723.56100000000004</v>
      </c>
      <c r="E70" s="3">
        <v>0.90500000000000003</v>
      </c>
      <c r="F70" s="3">
        <v>104</v>
      </c>
    </row>
    <row r="71" spans="1:6" x14ac:dyDescent="0.25">
      <c r="A71" s="3" t="s">
        <v>0</v>
      </c>
      <c r="B71" s="3">
        <v>50</v>
      </c>
      <c r="C71" s="3">
        <v>1</v>
      </c>
      <c r="D71" s="3">
        <v>1572.36</v>
      </c>
      <c r="E71" s="3">
        <v>3.3769999999999998</v>
      </c>
      <c r="F71" s="3">
        <v>108</v>
      </c>
    </row>
    <row r="72" spans="1:6" x14ac:dyDescent="0.25">
      <c r="A72" s="3" t="s">
        <v>0</v>
      </c>
      <c r="B72" s="3">
        <v>50</v>
      </c>
      <c r="C72" s="3">
        <v>1</v>
      </c>
      <c r="D72" s="3">
        <v>1572.5530000000001</v>
      </c>
      <c r="E72" s="3">
        <v>3.387</v>
      </c>
      <c r="F72" s="3">
        <v>105</v>
      </c>
    </row>
    <row r="73" spans="1:6" x14ac:dyDescent="0.25">
      <c r="A73" s="3" t="s">
        <v>0</v>
      </c>
      <c r="B73" s="3">
        <v>50</v>
      </c>
      <c r="C73" s="3">
        <v>1</v>
      </c>
      <c r="D73" s="3">
        <v>1573.3489999999999</v>
      </c>
      <c r="E73" s="3">
        <v>3.3759999999999999</v>
      </c>
      <c r="F73" s="3">
        <v>108</v>
      </c>
    </row>
    <row r="74" spans="1:6" x14ac:dyDescent="0.25">
      <c r="A74" s="3" t="s">
        <v>0</v>
      </c>
      <c r="B74" s="3">
        <v>50</v>
      </c>
      <c r="C74" s="3">
        <v>1</v>
      </c>
      <c r="D74" s="3">
        <v>1572.893</v>
      </c>
      <c r="E74" s="3">
        <v>3.3730000000000002</v>
      </c>
      <c r="F74" s="3">
        <v>104</v>
      </c>
    </row>
    <row r="75" spans="1:6" x14ac:dyDescent="0.25">
      <c r="A75" s="3" t="s">
        <v>0</v>
      </c>
      <c r="B75" s="3">
        <v>50</v>
      </c>
      <c r="C75" s="3">
        <v>1</v>
      </c>
      <c r="D75" s="3">
        <v>1572.7739999999999</v>
      </c>
      <c r="E75" s="3">
        <v>3.3719999999999999</v>
      </c>
      <c r="F75" s="3">
        <v>109</v>
      </c>
    </row>
    <row r="76" spans="1:6" x14ac:dyDescent="0.25">
      <c r="A76" s="3" t="s">
        <v>0</v>
      </c>
      <c r="B76" s="3">
        <v>50</v>
      </c>
      <c r="C76" s="3">
        <v>1</v>
      </c>
      <c r="D76" s="3">
        <v>1572.597</v>
      </c>
      <c r="E76" s="3">
        <v>3.387</v>
      </c>
      <c r="F76" s="3">
        <v>107</v>
      </c>
    </row>
    <row r="77" spans="1:6" x14ac:dyDescent="0.25">
      <c r="A77" s="3" t="s">
        <v>0</v>
      </c>
      <c r="B77" s="3">
        <v>50</v>
      </c>
      <c r="C77" s="3">
        <v>1</v>
      </c>
      <c r="D77" s="3">
        <v>1572.6479999999999</v>
      </c>
      <c r="E77" s="3">
        <v>3.3820000000000001</v>
      </c>
      <c r="F77" s="3">
        <v>105</v>
      </c>
    </row>
    <row r="78" spans="1:6" x14ac:dyDescent="0.25">
      <c r="A78" s="3" t="s">
        <v>0</v>
      </c>
      <c r="B78" s="3">
        <v>50</v>
      </c>
      <c r="C78" s="3">
        <v>1</v>
      </c>
      <c r="D78" s="3">
        <v>1572.925</v>
      </c>
      <c r="E78" s="3">
        <v>3.387</v>
      </c>
      <c r="F78" s="3">
        <v>105</v>
      </c>
    </row>
    <row r="79" spans="1:6" x14ac:dyDescent="0.25">
      <c r="A79" s="3" t="s">
        <v>0</v>
      </c>
      <c r="B79" s="3">
        <v>50</v>
      </c>
      <c r="C79" s="3">
        <v>1</v>
      </c>
      <c r="D79" s="3">
        <v>1571.874</v>
      </c>
      <c r="E79" s="3">
        <v>3.379</v>
      </c>
      <c r="F79" s="3">
        <v>106</v>
      </c>
    </row>
    <row r="80" spans="1:6" x14ac:dyDescent="0.25">
      <c r="A80" s="3" t="s">
        <v>0</v>
      </c>
      <c r="B80" s="3">
        <v>50</v>
      </c>
      <c r="C80" s="3">
        <v>1</v>
      </c>
      <c r="D80" s="3">
        <v>1572.1669999999999</v>
      </c>
      <c r="E80" s="3">
        <v>3.3879999999999999</v>
      </c>
      <c r="F80" s="3">
        <v>108</v>
      </c>
    </row>
    <row r="81" spans="1:6" x14ac:dyDescent="0.25">
      <c r="A81" s="3" t="s">
        <v>0</v>
      </c>
      <c r="B81" s="3">
        <v>100</v>
      </c>
      <c r="C81" s="3">
        <v>1</v>
      </c>
      <c r="D81" s="3">
        <v>3311.5709999999999</v>
      </c>
      <c r="E81" s="3">
        <v>11.368</v>
      </c>
      <c r="F81" s="3">
        <v>84</v>
      </c>
    </row>
    <row r="82" spans="1:6" x14ac:dyDescent="0.25">
      <c r="A82" s="3" t="s">
        <v>0</v>
      </c>
      <c r="B82" s="3">
        <v>100</v>
      </c>
      <c r="C82" s="3">
        <v>1</v>
      </c>
      <c r="D82" s="3">
        <v>3311.7109999999998</v>
      </c>
      <c r="E82" s="3">
        <v>11.391</v>
      </c>
      <c r="F82" s="3">
        <v>84</v>
      </c>
    </row>
    <row r="83" spans="1:6" x14ac:dyDescent="0.25">
      <c r="A83" s="3" t="s">
        <v>0</v>
      </c>
      <c r="B83" s="3">
        <v>100</v>
      </c>
      <c r="C83" s="3">
        <v>1</v>
      </c>
      <c r="D83" s="3">
        <v>3300.279</v>
      </c>
      <c r="E83" s="3">
        <v>11.318</v>
      </c>
      <c r="F83" s="3">
        <v>84</v>
      </c>
    </row>
    <row r="84" spans="1:6" x14ac:dyDescent="0.25">
      <c r="A84" s="3" t="s">
        <v>0</v>
      </c>
      <c r="B84" s="3">
        <v>100</v>
      </c>
      <c r="C84" s="3">
        <v>1</v>
      </c>
      <c r="D84" s="3">
        <v>3308.0129999999999</v>
      </c>
      <c r="E84" s="3">
        <v>11.337999999999999</v>
      </c>
      <c r="F84" s="3">
        <v>84</v>
      </c>
    </row>
    <row r="85" spans="1:6" x14ac:dyDescent="0.25">
      <c r="A85" s="3" t="s">
        <v>0</v>
      </c>
      <c r="B85" s="3">
        <v>100</v>
      </c>
      <c r="C85" s="3">
        <v>1</v>
      </c>
      <c r="D85" s="3">
        <v>3302.5680000000002</v>
      </c>
      <c r="E85" s="3">
        <v>11.332000000000001</v>
      </c>
      <c r="F85" s="3">
        <v>83</v>
      </c>
    </row>
    <row r="86" spans="1:6" x14ac:dyDescent="0.25">
      <c r="A86" s="3" t="s">
        <v>0</v>
      </c>
      <c r="B86" s="3">
        <v>100</v>
      </c>
      <c r="C86" s="3">
        <v>1</v>
      </c>
      <c r="D86" s="3">
        <v>3313.2449999999999</v>
      </c>
      <c r="E86" s="3">
        <v>11.318</v>
      </c>
      <c r="F86" s="3">
        <v>84</v>
      </c>
    </row>
    <row r="87" spans="1:6" x14ac:dyDescent="0.25">
      <c r="A87" s="3" t="s">
        <v>0</v>
      </c>
      <c r="B87" s="3">
        <v>100</v>
      </c>
      <c r="C87" s="3">
        <v>1</v>
      </c>
      <c r="D87" s="3">
        <v>3309.54</v>
      </c>
      <c r="E87" s="3">
        <v>11.413</v>
      </c>
      <c r="F87" s="3">
        <v>84</v>
      </c>
    </row>
    <row r="88" spans="1:6" x14ac:dyDescent="0.25">
      <c r="A88" s="3" t="s">
        <v>0</v>
      </c>
      <c r="B88" s="3">
        <v>100</v>
      </c>
      <c r="C88" s="3">
        <v>1</v>
      </c>
      <c r="D88" s="3">
        <v>3315.962</v>
      </c>
      <c r="E88" s="3">
        <v>11.385999999999999</v>
      </c>
      <c r="F88" s="3">
        <v>84</v>
      </c>
    </row>
    <row r="89" spans="1:6" x14ac:dyDescent="0.25">
      <c r="A89" s="3" t="s">
        <v>0</v>
      </c>
      <c r="B89" s="3">
        <v>100</v>
      </c>
      <c r="C89" s="3">
        <v>1</v>
      </c>
      <c r="D89" s="3">
        <v>3302.9580000000001</v>
      </c>
      <c r="E89" s="3">
        <v>11.343</v>
      </c>
      <c r="F89" s="3">
        <v>83</v>
      </c>
    </row>
    <row r="90" spans="1:6" x14ac:dyDescent="0.25">
      <c r="A90" s="3" t="s">
        <v>0</v>
      </c>
      <c r="B90" s="3">
        <v>100</v>
      </c>
      <c r="C90" s="3">
        <v>1</v>
      </c>
      <c r="D90" s="3">
        <v>3313.4059999999999</v>
      </c>
      <c r="E90" s="3">
        <v>11.362</v>
      </c>
      <c r="F90" s="3">
        <v>84</v>
      </c>
    </row>
  </sheetData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0"/>
  <sheetViews>
    <sheetView zoomScale="85" zoomScaleNormal="85" workbookViewId="0">
      <selection sqref="A1:F91"/>
    </sheetView>
  </sheetViews>
  <sheetFormatPr defaultColWidth="9" defaultRowHeight="15" x14ac:dyDescent="0.25"/>
  <cols>
    <col min="1" max="1" width="10" style="3" customWidth="1"/>
    <col min="2" max="2" width="4.375" style="3" bestFit="1" customWidth="1"/>
    <col min="3" max="3" width="2.625" style="3" bestFit="1" customWidth="1"/>
    <col min="4" max="4" width="10.625" style="3" customWidth="1"/>
    <col min="5" max="5" width="7" style="3" bestFit="1" customWidth="1"/>
    <col min="6" max="6" width="4.375" style="3" bestFit="1" customWidth="1"/>
    <col min="7" max="7" width="2.5" style="3" customWidth="1"/>
    <col min="8" max="8" width="9.5" style="3" customWidth="1"/>
    <col min="9" max="9" width="4.375" style="3" bestFit="1" customWidth="1"/>
    <col min="10" max="10" width="3.125" style="3" bestFit="1" customWidth="1"/>
    <col min="11" max="11" width="2.5" style="3" customWidth="1"/>
    <col min="12" max="21" width="9" style="3"/>
    <col min="22" max="22" width="2.5" style="3" customWidth="1"/>
    <col min="23" max="23" width="9" style="3"/>
    <col min="24" max="24" width="2.625" style="3" customWidth="1"/>
    <col min="25" max="25" width="9" style="3"/>
    <col min="26" max="26" width="2.25" style="3" customWidth="1"/>
    <col min="27" max="27" width="2.75" style="3" customWidth="1"/>
    <col min="28" max="37" width="9" style="3"/>
    <col min="38" max="38" width="5.625" style="3" customWidth="1"/>
    <col min="39" max="16384" width="9" style="3"/>
  </cols>
  <sheetData>
    <row r="1" spans="1:39" x14ac:dyDescent="0.25">
      <c r="A1" s="3" t="s">
        <v>2</v>
      </c>
      <c r="B1" s="3">
        <v>24</v>
      </c>
      <c r="C1" s="3">
        <v>1</v>
      </c>
      <c r="D1" s="3">
        <v>56008.764000000003</v>
      </c>
      <c r="E1" s="3">
        <v>1.238</v>
      </c>
      <c r="F1" s="3">
        <v>159</v>
      </c>
      <c r="H1" s="5" t="s">
        <v>13</v>
      </c>
      <c r="I1" s="5" t="s">
        <v>14</v>
      </c>
      <c r="J1" s="5" t="s">
        <v>10</v>
      </c>
      <c r="K1" s="2"/>
      <c r="L1" s="2">
        <v>1</v>
      </c>
      <c r="M1" s="2">
        <v>2</v>
      </c>
      <c r="N1" s="2">
        <v>3</v>
      </c>
      <c r="O1" s="2">
        <v>4</v>
      </c>
      <c r="P1" s="2">
        <v>5</v>
      </c>
      <c r="Q1" s="2">
        <v>6</v>
      </c>
      <c r="R1" s="2">
        <v>7</v>
      </c>
      <c r="S1" s="2">
        <v>8</v>
      </c>
      <c r="T1" s="2">
        <v>9</v>
      </c>
      <c r="U1" s="2">
        <v>10</v>
      </c>
      <c r="W1" s="2" t="s">
        <v>11</v>
      </c>
      <c r="X1" s="2"/>
      <c r="Y1" s="2" t="s">
        <v>9</v>
      </c>
      <c r="Z1" s="2"/>
      <c r="AM1" s="5" t="s">
        <v>12</v>
      </c>
    </row>
    <row r="2" spans="1:39" x14ac:dyDescent="0.25">
      <c r="A2" s="3" t="s">
        <v>2</v>
      </c>
      <c r="B2" s="3">
        <v>24</v>
      </c>
      <c r="C2" s="3">
        <v>1</v>
      </c>
      <c r="D2" s="3">
        <v>55964.896999999997</v>
      </c>
      <c r="E2" s="3">
        <v>1.2390000000000001</v>
      </c>
      <c r="F2" s="3">
        <v>179</v>
      </c>
      <c r="H2" s="3" t="s">
        <v>2</v>
      </c>
      <c r="I2" s="3">
        <v>24</v>
      </c>
      <c r="J2" s="3">
        <v>1</v>
      </c>
      <c r="L2" s="3">
        <f ca="1">INDIRECT("D"&amp;1+(ROW(D1)-1)*10+COLUMN(A1)-1)</f>
        <v>56008.764000000003</v>
      </c>
      <c r="M2" s="3">
        <f t="shared" ref="M2:U10" ca="1" si="0">INDIRECT("D"&amp;1+(ROW(E1)-1)*10+COLUMN(B1)-1)</f>
        <v>55964.896999999997</v>
      </c>
      <c r="N2" s="3">
        <f t="shared" ca="1" si="0"/>
        <v>55993.334000000003</v>
      </c>
      <c r="O2" s="3">
        <f t="shared" ca="1" si="0"/>
        <v>56012.271000000001</v>
      </c>
      <c r="P2" s="3">
        <f t="shared" ca="1" si="0"/>
        <v>56027.233999999997</v>
      </c>
      <c r="Q2" s="3">
        <f t="shared" ca="1" si="0"/>
        <v>56009.707999999999</v>
      </c>
      <c r="R2" s="3">
        <f t="shared" ca="1" si="0"/>
        <v>55997.629000000001</v>
      </c>
      <c r="S2" s="3">
        <f t="shared" ca="1" si="0"/>
        <v>56033.531000000003</v>
      </c>
      <c r="T2" s="3">
        <f t="shared" ca="1" si="0"/>
        <v>56026.182000000001</v>
      </c>
      <c r="U2" s="3">
        <f t="shared" ca="1" si="0"/>
        <v>56003.523999999998</v>
      </c>
      <c r="W2" s="3">
        <f ca="1">AVERAGE(L2:U2)</f>
        <v>56007.707399999999</v>
      </c>
      <c r="Y2" s="3">
        <f ca="1">Total!E2</f>
        <v>55722.476000000002</v>
      </c>
      <c r="AB2" s="3">
        <f t="shared" ref="AB2:AK10" ca="1" si="1">(L2-$Y2)/$Y2</f>
        <v>5.1377472889036812E-3</v>
      </c>
      <c r="AC2" s="3">
        <f t="shared" ca="1" si="1"/>
        <v>4.350506607064532E-3</v>
      </c>
      <c r="AD2" s="3">
        <f t="shared" ca="1" si="1"/>
        <v>4.8608392778526242E-3</v>
      </c>
      <c r="AE2" s="3">
        <f t="shared" ca="1" si="1"/>
        <v>5.2006841907024778E-3</v>
      </c>
      <c r="AF2" s="3">
        <f t="shared" ca="1" si="1"/>
        <v>5.4692113824948187E-3</v>
      </c>
      <c r="AG2" s="3">
        <f t="shared" ca="1" si="1"/>
        <v>5.1546883882187203E-3</v>
      </c>
      <c r="AH2" s="3">
        <f t="shared" ca="1" si="1"/>
        <v>4.9379176905204004E-3</v>
      </c>
      <c r="AI2" s="3">
        <f t="shared" ca="1" si="1"/>
        <v>5.5822178468882154E-3</v>
      </c>
      <c r="AJ2" s="3">
        <f t="shared" ca="1" si="1"/>
        <v>5.450332106563217E-3</v>
      </c>
      <c r="AK2" s="3">
        <f t="shared" ca="1" si="1"/>
        <v>5.0437098308408843E-3</v>
      </c>
      <c r="AM2" s="3">
        <f ca="1">SUM(AB2:AK2)</f>
        <v>5.1187854610049564E-2</v>
      </c>
    </row>
    <row r="3" spans="1:39" x14ac:dyDescent="0.25">
      <c r="A3" s="3" t="s">
        <v>2</v>
      </c>
      <c r="B3" s="3">
        <v>24</v>
      </c>
      <c r="C3" s="3">
        <v>1</v>
      </c>
      <c r="D3" s="3">
        <v>55993.334000000003</v>
      </c>
      <c r="E3" s="3">
        <v>1.2410000000000001</v>
      </c>
      <c r="F3" s="3">
        <v>172</v>
      </c>
      <c r="H3" s="3" t="s">
        <v>2</v>
      </c>
      <c r="I3" s="3">
        <v>47</v>
      </c>
      <c r="J3" s="3">
        <v>1</v>
      </c>
      <c r="L3" s="3">
        <f t="shared" ref="L3:L10" ca="1" si="2">INDIRECT("D"&amp;1+(ROW(D2)-1)*10+COLUMN(A2)-1)</f>
        <v>126274.19500000001</v>
      </c>
      <c r="M3" s="3">
        <f t="shared" ca="1" si="0"/>
        <v>126237.38800000001</v>
      </c>
      <c r="N3" s="3">
        <f t="shared" ca="1" si="0"/>
        <v>126310.44100000001</v>
      </c>
      <c r="O3" s="3">
        <f t="shared" ca="1" si="0"/>
        <v>126303.03999999999</v>
      </c>
      <c r="P3" s="3">
        <f t="shared" ca="1" si="0"/>
        <v>126220.512</v>
      </c>
      <c r="Q3" s="3">
        <f t="shared" ca="1" si="0"/>
        <v>126210.792</v>
      </c>
      <c r="R3" s="3">
        <f t="shared" ca="1" si="0"/>
        <v>126298.458</v>
      </c>
      <c r="S3" s="3">
        <f t="shared" ca="1" si="0"/>
        <v>126270.97500000001</v>
      </c>
      <c r="T3" s="3">
        <f t="shared" ca="1" si="0"/>
        <v>126291.614</v>
      </c>
      <c r="U3" s="3">
        <f t="shared" ca="1" si="0"/>
        <v>126202.041</v>
      </c>
      <c r="W3" s="3">
        <f t="shared" ref="W3:W10" ca="1" si="3">AVERAGE(L3:U3)</f>
        <v>126261.94560000001</v>
      </c>
      <c r="Y3" s="3">
        <f ca="1">Total!E3</f>
        <v>126021.209</v>
      </c>
      <c r="AB3" s="3">
        <f t="shared" ca="1" si="1"/>
        <v>2.0074874856977798E-3</v>
      </c>
      <c r="AC3" s="3">
        <f t="shared" ca="1" si="1"/>
        <v>1.715417600857993E-3</v>
      </c>
      <c r="AD3" s="3">
        <f t="shared" ca="1" si="1"/>
        <v>2.2951057389078342E-3</v>
      </c>
      <c r="AE3" s="3">
        <f t="shared" ca="1" si="1"/>
        <v>2.2363775291188567E-3</v>
      </c>
      <c r="AF3" s="3">
        <f t="shared" ca="1" si="1"/>
        <v>1.5815036340430591E-3</v>
      </c>
      <c r="AG3" s="3">
        <f t="shared" ca="1" si="1"/>
        <v>1.5043737598168789E-3</v>
      </c>
      <c r="AH3" s="3">
        <f t="shared" ca="1" si="1"/>
        <v>2.2000185698900585E-3</v>
      </c>
      <c r="AI3" s="3">
        <f t="shared" ca="1" si="1"/>
        <v>1.98193623106729E-3</v>
      </c>
      <c r="AJ3" s="3">
        <f t="shared" ca="1" si="1"/>
        <v>2.1457102510419402E-3</v>
      </c>
      <c r="AK3" s="3">
        <f t="shared" ca="1" si="1"/>
        <v>1.4349330674965583E-3</v>
      </c>
      <c r="AM3" s="3">
        <f t="shared" ref="AM3:AM10" ca="1" si="4">SUM(AB3:AK3)</f>
        <v>1.910286386793825E-2</v>
      </c>
    </row>
    <row r="4" spans="1:39" x14ac:dyDescent="0.25">
      <c r="A4" s="3" t="s">
        <v>2</v>
      </c>
      <c r="B4" s="3">
        <v>24</v>
      </c>
      <c r="C4" s="3">
        <v>1</v>
      </c>
      <c r="D4" s="3">
        <v>56012.271000000001</v>
      </c>
      <c r="E4" s="3">
        <v>1.24</v>
      </c>
      <c r="F4" s="3">
        <v>184</v>
      </c>
      <c r="H4" s="3" t="s">
        <v>2</v>
      </c>
      <c r="I4" s="3">
        <v>100</v>
      </c>
      <c r="J4" s="3">
        <v>1</v>
      </c>
      <c r="L4" s="3">
        <f t="shared" ca="1" si="2"/>
        <v>1217182.2560000001</v>
      </c>
      <c r="M4" s="3">
        <f t="shared" ca="1" si="0"/>
        <v>1217345.7790000001</v>
      </c>
      <c r="N4" s="3">
        <f t="shared" ca="1" si="0"/>
        <v>1216839.064</v>
      </c>
      <c r="O4" s="3">
        <f t="shared" ca="1" si="0"/>
        <v>1217782.7180000001</v>
      </c>
      <c r="P4" s="3">
        <f t="shared" ca="1" si="0"/>
        <v>1217211.5390000001</v>
      </c>
      <c r="Q4" s="3">
        <f t="shared" ca="1" si="0"/>
        <v>1216917.523</v>
      </c>
      <c r="R4" s="3">
        <f t="shared" ca="1" si="0"/>
        <v>1217073.925</v>
      </c>
      <c r="S4" s="3">
        <f t="shared" ca="1" si="0"/>
        <v>1217124.0149999999</v>
      </c>
      <c r="T4" s="3">
        <f t="shared" ca="1" si="0"/>
        <v>1217471.9180000001</v>
      </c>
      <c r="U4" s="3">
        <f t="shared" ca="1" si="0"/>
        <v>1217442.726</v>
      </c>
      <c r="W4" s="3">
        <f t="shared" ca="1" si="3"/>
        <v>1217239.1463000001</v>
      </c>
      <c r="Y4" s="3">
        <f ca="1">Total!E4</f>
        <v>1216556.6340000001</v>
      </c>
      <c r="AB4" s="3">
        <f t="shared" ca="1" si="1"/>
        <v>5.1425637123275422E-4</v>
      </c>
      <c r="AC4" s="3">
        <f t="shared" ca="1" si="1"/>
        <v>6.4867099315001444E-4</v>
      </c>
      <c r="AD4" s="3">
        <f t="shared" ca="1" si="1"/>
        <v>2.3215524218655881E-4</v>
      </c>
      <c r="AE4" s="3">
        <f t="shared" ca="1" si="1"/>
        <v>1.0078314200373114E-3</v>
      </c>
      <c r="AF4" s="3">
        <f t="shared" ca="1" si="1"/>
        <v>5.3832676728474268E-4</v>
      </c>
      <c r="AG4" s="3">
        <f t="shared" ca="1" si="1"/>
        <v>2.9664792407844981E-4</v>
      </c>
      <c r="AH4" s="3">
        <f t="shared" ca="1" si="1"/>
        <v>4.252091399141294E-4</v>
      </c>
      <c r="AI4" s="3">
        <f t="shared" ca="1" si="1"/>
        <v>4.6638272657663983E-4</v>
      </c>
      <c r="AJ4" s="3">
        <f t="shared" ca="1" si="1"/>
        <v>7.5235626062928121E-4</v>
      </c>
      <c r="AK4" s="3">
        <f t="shared" ca="1" si="1"/>
        <v>7.2836066586271723E-4</v>
      </c>
      <c r="AM4" s="3">
        <f t="shared" ca="1" si="4"/>
        <v>5.6101975109525987E-3</v>
      </c>
    </row>
    <row r="5" spans="1:39" x14ac:dyDescent="0.25">
      <c r="A5" s="3" t="s">
        <v>2</v>
      </c>
      <c r="B5" s="3">
        <v>24</v>
      </c>
      <c r="C5" s="3">
        <v>1</v>
      </c>
      <c r="D5" s="3">
        <v>56027.233999999997</v>
      </c>
      <c r="E5" s="3">
        <v>1.238</v>
      </c>
      <c r="F5" s="3">
        <v>166</v>
      </c>
      <c r="H5" s="3" t="s">
        <v>1</v>
      </c>
      <c r="I5" s="3">
        <v>30</v>
      </c>
      <c r="J5" s="3">
        <v>1</v>
      </c>
      <c r="L5" s="3">
        <f t="shared" ca="1" si="2"/>
        <v>19997.704000000002</v>
      </c>
      <c r="M5" s="3">
        <f t="shared" ca="1" si="0"/>
        <v>19972.972000000002</v>
      </c>
      <c r="N5" s="3">
        <f t="shared" ca="1" si="0"/>
        <v>20011.339</v>
      </c>
      <c r="O5" s="3">
        <f t="shared" ca="1" si="0"/>
        <v>19989.616000000002</v>
      </c>
      <c r="P5" s="3">
        <f t="shared" ca="1" si="0"/>
        <v>20039.025000000001</v>
      </c>
      <c r="Q5" s="3">
        <f t="shared" ca="1" si="0"/>
        <v>20003.405999999999</v>
      </c>
      <c r="R5" s="3">
        <f t="shared" ca="1" si="0"/>
        <v>20021.580999999998</v>
      </c>
      <c r="S5" s="3">
        <f t="shared" ca="1" si="0"/>
        <v>20036.185000000001</v>
      </c>
      <c r="T5" s="3">
        <f t="shared" ca="1" si="0"/>
        <v>20000.97</v>
      </c>
      <c r="U5" s="3">
        <f t="shared" ca="1" si="0"/>
        <v>19992.655999999999</v>
      </c>
      <c r="W5" s="3">
        <f t="shared" ca="1" si="3"/>
        <v>20006.545399999999</v>
      </c>
      <c r="Y5" s="3">
        <f ca="1">Total!E5</f>
        <v>19969.536</v>
      </c>
      <c r="AB5" s="3">
        <f t="shared" ca="1" si="1"/>
        <v>1.4105485475476988E-3</v>
      </c>
      <c r="AC5" s="3">
        <f t="shared" ca="1" si="1"/>
        <v>1.7206208496789877E-4</v>
      </c>
      <c r="AD5" s="3">
        <f t="shared" ca="1" si="1"/>
        <v>2.0933385733148675E-3</v>
      </c>
      <c r="AE5" s="3">
        <f t="shared" ca="1" si="1"/>
        <v>1.0055316257724638E-3</v>
      </c>
      <c r="AF5" s="3">
        <f t="shared" ca="1" si="1"/>
        <v>3.4797503557419361E-3</v>
      </c>
      <c r="AG5" s="3">
        <f t="shared" ca="1" si="1"/>
        <v>1.6960834743480761E-3</v>
      </c>
      <c r="AH5" s="3">
        <f t="shared" ca="1" si="1"/>
        <v>2.6062197939901183E-3</v>
      </c>
      <c r="AI5" s="3">
        <f t="shared" ca="1" si="1"/>
        <v>3.3375337313797E-3</v>
      </c>
      <c r="AJ5" s="3">
        <f t="shared" ca="1" si="1"/>
        <v>1.5740976655642428E-3</v>
      </c>
      <c r="AK5" s="3">
        <f t="shared" ca="1" si="1"/>
        <v>1.1577635053713307E-3</v>
      </c>
      <c r="AM5" s="3">
        <f t="shared" ca="1" si="4"/>
        <v>1.8532929357998332E-2</v>
      </c>
    </row>
    <row r="6" spans="1:39" x14ac:dyDescent="0.25">
      <c r="A6" s="3" t="s">
        <v>2</v>
      </c>
      <c r="B6" s="3">
        <v>24</v>
      </c>
      <c r="C6" s="3">
        <v>1</v>
      </c>
      <c r="D6" s="3">
        <v>56009.707999999999</v>
      </c>
      <c r="E6" s="3">
        <v>1.2370000000000001</v>
      </c>
      <c r="F6" s="3">
        <v>189</v>
      </c>
      <c r="H6" s="3" t="s">
        <v>1</v>
      </c>
      <c r="I6" s="3">
        <v>50</v>
      </c>
      <c r="J6" s="3">
        <v>1</v>
      </c>
      <c r="L6" s="3">
        <f t="shared" ca="1" si="2"/>
        <v>35379.96</v>
      </c>
      <c r="M6" s="3">
        <f t="shared" ca="1" si="0"/>
        <v>35377.811999999998</v>
      </c>
      <c r="N6" s="3">
        <f t="shared" ca="1" si="0"/>
        <v>35392.01</v>
      </c>
      <c r="O6" s="3">
        <f t="shared" ca="1" si="0"/>
        <v>35386.546999999999</v>
      </c>
      <c r="P6" s="3">
        <f t="shared" ca="1" si="0"/>
        <v>35299.089999999997</v>
      </c>
      <c r="Q6" s="3">
        <f t="shared" ca="1" si="0"/>
        <v>35366.266000000003</v>
      </c>
      <c r="R6" s="3">
        <f t="shared" ca="1" si="0"/>
        <v>35354.953999999998</v>
      </c>
      <c r="S6" s="3">
        <f t="shared" ca="1" si="0"/>
        <v>35427.087</v>
      </c>
      <c r="T6" s="3">
        <f t="shared" ca="1" si="0"/>
        <v>35323.932000000001</v>
      </c>
      <c r="U6" s="3">
        <f t="shared" ca="1" si="0"/>
        <v>35413.398999999998</v>
      </c>
      <c r="W6" s="3">
        <f t="shared" ca="1" si="3"/>
        <v>35372.1057</v>
      </c>
      <c r="Y6" s="3">
        <f ca="1">Total!E6</f>
        <v>35277.981</v>
      </c>
      <c r="AB6" s="3">
        <f t="shared" ca="1" si="1"/>
        <v>2.8907266546801349E-3</v>
      </c>
      <c r="AC6" s="3">
        <f t="shared" ca="1" si="1"/>
        <v>2.8298388164560298E-3</v>
      </c>
      <c r="AD6" s="3">
        <f t="shared" ca="1" si="1"/>
        <v>3.2322994901551275E-3</v>
      </c>
      <c r="AE6" s="3">
        <f t="shared" ca="1" si="1"/>
        <v>3.0774436893086059E-3</v>
      </c>
      <c r="AF6" s="3">
        <f t="shared" ca="1" si="1"/>
        <v>5.9836190738910878E-4</v>
      </c>
      <c r="AG6" s="3">
        <f t="shared" ca="1" si="1"/>
        <v>2.5025525128550721E-3</v>
      </c>
      <c r="AH6" s="3">
        <f t="shared" ca="1" si="1"/>
        <v>2.1818992419095113E-3</v>
      </c>
      <c r="AI6" s="3">
        <f t="shared" ca="1" si="1"/>
        <v>4.2266024237611489E-3</v>
      </c>
      <c r="AJ6" s="3">
        <f t="shared" ca="1" si="1"/>
        <v>1.30254052804215E-3</v>
      </c>
      <c r="AK6" s="3">
        <f t="shared" ca="1" si="1"/>
        <v>3.8385983596963174E-3</v>
      </c>
      <c r="AM6" s="3">
        <f t="shared" ca="1" si="4"/>
        <v>2.6680863624253207E-2</v>
      </c>
    </row>
    <row r="7" spans="1:39" x14ac:dyDescent="0.25">
      <c r="A7" s="3" t="s">
        <v>2</v>
      </c>
      <c r="B7" s="3">
        <v>24</v>
      </c>
      <c r="C7" s="3">
        <v>1</v>
      </c>
      <c r="D7" s="3">
        <v>55997.629000000001</v>
      </c>
      <c r="E7" s="3">
        <v>1.2370000000000001</v>
      </c>
      <c r="F7" s="3">
        <v>182</v>
      </c>
      <c r="H7" s="3" t="s">
        <v>1</v>
      </c>
      <c r="I7" s="3">
        <v>100</v>
      </c>
      <c r="J7" s="3">
        <v>1</v>
      </c>
      <c r="L7" s="3">
        <f t="shared" ca="1" si="2"/>
        <v>63122.644</v>
      </c>
      <c r="M7" s="3">
        <f t="shared" ca="1" si="0"/>
        <v>63250.402999999998</v>
      </c>
      <c r="N7" s="3">
        <f t="shared" ca="1" si="0"/>
        <v>63155.87</v>
      </c>
      <c r="O7" s="3">
        <f t="shared" ca="1" si="0"/>
        <v>63120.851000000002</v>
      </c>
      <c r="P7" s="3">
        <f t="shared" ca="1" si="0"/>
        <v>63195.326999999997</v>
      </c>
      <c r="Q7" s="3">
        <f t="shared" ca="1" si="0"/>
        <v>63145.233999999997</v>
      </c>
      <c r="R7" s="3">
        <f t="shared" ca="1" si="0"/>
        <v>63166.67</v>
      </c>
      <c r="S7" s="3">
        <f t="shared" ca="1" si="0"/>
        <v>63163.195</v>
      </c>
      <c r="T7" s="3">
        <f t="shared" ca="1" si="0"/>
        <v>63228.362000000001</v>
      </c>
      <c r="U7" s="3">
        <f t="shared" ca="1" si="0"/>
        <v>63139.574000000001</v>
      </c>
      <c r="W7" s="3">
        <f t="shared" ca="1" si="3"/>
        <v>63168.813000000002</v>
      </c>
      <c r="Y7" s="3">
        <f ca="1">Total!E7</f>
        <v>63035.512000000002</v>
      </c>
      <c r="AB7" s="3">
        <f t="shared" ca="1" si="1"/>
        <v>1.3822684584524005E-3</v>
      </c>
      <c r="AC7" s="3">
        <f t="shared" ca="1" si="1"/>
        <v>3.4090466339036949E-3</v>
      </c>
      <c r="AD7" s="3">
        <f t="shared" ca="1" si="1"/>
        <v>1.9093681669469136E-3</v>
      </c>
      <c r="AE7" s="3">
        <f t="shared" ca="1" si="1"/>
        <v>1.3538241745383133E-3</v>
      </c>
      <c r="AF7" s="3">
        <f t="shared" ca="1" si="1"/>
        <v>2.5353169178667897E-3</v>
      </c>
      <c r="AG7" s="3">
        <f t="shared" ca="1" si="1"/>
        <v>1.7406378804378441E-3</v>
      </c>
      <c r="AH7" s="3">
        <f t="shared" ca="1" si="1"/>
        <v>2.0807001615215847E-3</v>
      </c>
      <c r="AI7" s="3">
        <f t="shared" ca="1" si="1"/>
        <v>2.0255725058598282E-3</v>
      </c>
      <c r="AJ7" s="3">
        <f t="shared" ca="1" si="1"/>
        <v>3.0593865883091192E-3</v>
      </c>
      <c r="AK7" s="3">
        <f t="shared" ca="1" si="1"/>
        <v>1.6508472240218826E-3</v>
      </c>
      <c r="AM7" s="3">
        <f t="shared" ca="1" si="4"/>
        <v>2.1146968711858373E-2</v>
      </c>
    </row>
    <row r="8" spans="1:39" x14ac:dyDescent="0.25">
      <c r="A8" s="3" t="s">
        <v>2</v>
      </c>
      <c r="B8" s="3">
        <v>24</v>
      </c>
      <c r="C8" s="3">
        <v>1</v>
      </c>
      <c r="D8" s="3">
        <v>56033.531000000003</v>
      </c>
      <c r="E8" s="3">
        <v>1.2390000000000001</v>
      </c>
      <c r="F8" s="3">
        <v>201</v>
      </c>
      <c r="H8" s="3" t="s">
        <v>0</v>
      </c>
      <c r="I8" s="3">
        <v>25</v>
      </c>
      <c r="J8" s="3">
        <v>1</v>
      </c>
      <c r="L8" s="3">
        <f t="shared" ca="1" si="2"/>
        <v>723.54399999999998</v>
      </c>
      <c r="M8" s="3">
        <f t="shared" ca="1" si="0"/>
        <v>722.93499999999995</v>
      </c>
      <c r="N8" s="3">
        <f t="shared" ca="1" si="0"/>
        <v>723.03399999999999</v>
      </c>
      <c r="O8" s="3">
        <f t="shared" ca="1" si="0"/>
        <v>723.68499999999995</v>
      </c>
      <c r="P8" s="3">
        <f t="shared" ca="1" si="0"/>
        <v>723.37800000000004</v>
      </c>
      <c r="Q8" s="3">
        <f t="shared" ca="1" si="0"/>
        <v>723.61500000000001</v>
      </c>
      <c r="R8" s="3">
        <f t="shared" ca="1" si="0"/>
        <v>723.05799999999999</v>
      </c>
      <c r="S8" s="3">
        <f t="shared" ca="1" si="0"/>
        <v>723.82600000000002</v>
      </c>
      <c r="T8" s="3">
        <f t="shared" ca="1" si="0"/>
        <v>723.60400000000004</v>
      </c>
      <c r="U8" s="3">
        <f t="shared" ca="1" si="0"/>
        <v>723.67100000000005</v>
      </c>
      <c r="W8" s="3">
        <f t="shared" ca="1" si="3"/>
        <v>723.43500000000006</v>
      </c>
      <c r="Y8" s="3">
        <f ca="1">Total!E8</f>
        <v>722.92</v>
      </c>
      <c r="AB8" s="3">
        <f t="shared" ca="1" si="1"/>
        <v>8.6316604880211324E-4</v>
      </c>
      <c r="AC8" s="3">
        <f t="shared" ca="1" si="1"/>
        <v>2.0749183865415756E-5</v>
      </c>
      <c r="AD8" s="3">
        <f t="shared" ca="1" si="1"/>
        <v>1.5769379737734846E-4</v>
      </c>
      <c r="AE8" s="3">
        <f t="shared" ca="1" si="1"/>
        <v>1.0582083771371472E-3</v>
      </c>
      <c r="AF8" s="3">
        <f t="shared" ca="1" si="1"/>
        <v>6.3354174735805299E-4</v>
      </c>
      <c r="AG8" s="3">
        <f t="shared" ca="1" si="1"/>
        <v>9.6137885243187361E-4</v>
      </c>
      <c r="AH8" s="3">
        <f t="shared" ca="1" si="1"/>
        <v>1.9089249156204513E-4</v>
      </c>
      <c r="AI8" s="3">
        <f t="shared" ca="1" si="1"/>
        <v>1.2532507054723383E-3</v>
      </c>
      <c r="AJ8" s="3">
        <f t="shared" ca="1" si="1"/>
        <v>9.4616278426393348E-4</v>
      </c>
      <c r="AK8" s="3">
        <f t="shared" ca="1" si="1"/>
        <v>1.0388424721962182E-3</v>
      </c>
      <c r="AM8" s="3">
        <f t="shared" ca="1" si="4"/>
        <v>7.1238864604664873E-3</v>
      </c>
    </row>
    <row r="9" spans="1:39" x14ac:dyDescent="0.25">
      <c r="A9" s="3" t="s">
        <v>2</v>
      </c>
      <c r="B9" s="3">
        <v>24</v>
      </c>
      <c r="C9" s="3">
        <v>1</v>
      </c>
      <c r="D9" s="3">
        <v>56026.182000000001</v>
      </c>
      <c r="E9" s="3">
        <v>1.244</v>
      </c>
      <c r="F9" s="3">
        <v>191</v>
      </c>
      <c r="H9" s="3" t="s">
        <v>0</v>
      </c>
      <c r="I9" s="3">
        <v>50</v>
      </c>
      <c r="J9" s="3">
        <v>1</v>
      </c>
      <c r="L9" s="3">
        <f t="shared" ca="1" si="2"/>
        <v>1572.8779999999999</v>
      </c>
      <c r="M9" s="3">
        <f t="shared" ca="1" si="0"/>
        <v>1572.9949999999999</v>
      </c>
      <c r="N9" s="3">
        <f t="shared" ca="1" si="0"/>
        <v>1571.848</v>
      </c>
      <c r="O9" s="3">
        <f t="shared" ca="1" si="0"/>
        <v>1573.047</v>
      </c>
      <c r="P9" s="3">
        <f t="shared" ca="1" si="0"/>
        <v>1572.12</v>
      </c>
      <c r="Q9" s="3">
        <f t="shared" ca="1" si="0"/>
        <v>1571.8340000000001</v>
      </c>
      <c r="R9" s="3">
        <f t="shared" ca="1" si="0"/>
        <v>1571.6079999999999</v>
      </c>
      <c r="S9" s="3">
        <f t="shared" ca="1" si="0"/>
        <v>1572.7739999999999</v>
      </c>
      <c r="T9" s="3">
        <f t="shared" ca="1" si="0"/>
        <v>1570.8530000000001</v>
      </c>
      <c r="U9" s="3">
        <f t="shared" ca="1" si="0"/>
        <v>1572.768</v>
      </c>
      <c r="W9" s="3">
        <f t="shared" ca="1" si="3"/>
        <v>1572.2724999999998</v>
      </c>
      <c r="Y9" s="3">
        <f ca="1">Total!E9</f>
        <v>1570.17</v>
      </c>
      <c r="AB9" s="3">
        <f t="shared" ca="1" si="1"/>
        <v>1.7246540183546088E-3</v>
      </c>
      <c r="AC9" s="3">
        <f t="shared" ca="1" si="1"/>
        <v>1.7991682429289936E-3</v>
      </c>
      <c r="AD9" s="3">
        <f t="shared" ca="1" si="1"/>
        <v>1.0686740926141014E-3</v>
      </c>
      <c r="AE9" s="3">
        <f t="shared" ca="1" si="1"/>
        <v>1.8322856760732613E-3</v>
      </c>
      <c r="AF9" s="3">
        <f t="shared" ca="1" si="1"/>
        <v>1.2419037429067031E-3</v>
      </c>
      <c r="AG9" s="3">
        <f t="shared" ca="1" si="1"/>
        <v>1.0597578606138108E-3</v>
      </c>
      <c r="AH9" s="3">
        <f t="shared" ca="1" si="1"/>
        <v>9.1582440117941009E-4</v>
      </c>
      <c r="AI9" s="3">
        <f t="shared" ca="1" si="1"/>
        <v>1.6584191520662185E-3</v>
      </c>
      <c r="AJ9" s="3">
        <f t="shared" ca="1" si="1"/>
        <v>4.3498474687453761E-4</v>
      </c>
      <c r="AK9" s="3">
        <f t="shared" ca="1" si="1"/>
        <v>1.6545979097804418E-3</v>
      </c>
      <c r="AM9" s="3">
        <f t="shared" ca="1" si="4"/>
        <v>1.3390269843392085E-2</v>
      </c>
    </row>
    <row r="10" spans="1:39" x14ac:dyDescent="0.25">
      <c r="A10" s="3" t="s">
        <v>2</v>
      </c>
      <c r="B10" s="3">
        <v>24</v>
      </c>
      <c r="C10" s="3">
        <v>1</v>
      </c>
      <c r="D10" s="3">
        <v>56003.523999999998</v>
      </c>
      <c r="E10" s="3">
        <v>1.2390000000000001</v>
      </c>
      <c r="F10" s="3">
        <v>183</v>
      </c>
      <c r="H10" s="3" t="s">
        <v>28</v>
      </c>
      <c r="I10" s="3">
        <v>100</v>
      </c>
      <c r="J10" s="3">
        <v>1</v>
      </c>
      <c r="L10" s="3">
        <f t="shared" ca="1" si="2"/>
        <v>3293.5720000000001</v>
      </c>
      <c r="M10" s="3">
        <f t="shared" ca="1" si="0"/>
        <v>3295.7950000000001</v>
      </c>
      <c r="N10" s="3">
        <f t="shared" ca="1" si="0"/>
        <v>3294.181</v>
      </c>
      <c r="O10" s="3">
        <f t="shared" ca="1" si="0"/>
        <v>3316.7359999999999</v>
      </c>
      <c r="P10" s="3">
        <f t="shared" ca="1" si="0"/>
        <v>3296.49</v>
      </c>
      <c r="Q10" s="3">
        <f t="shared" ca="1" si="0"/>
        <v>3296.203</v>
      </c>
      <c r="R10" s="3">
        <f t="shared" ca="1" si="0"/>
        <v>3292.4810000000002</v>
      </c>
      <c r="S10" s="3">
        <f t="shared" ca="1" si="0"/>
        <v>3295.2849999999999</v>
      </c>
      <c r="T10" s="3">
        <f t="shared" ca="1" si="0"/>
        <v>3315.9050000000002</v>
      </c>
      <c r="U10" s="3">
        <f t="shared" ca="1" si="0"/>
        <v>3296.6410000000001</v>
      </c>
      <c r="W10" s="3">
        <f t="shared" ca="1" si="3"/>
        <v>3299.3288999999995</v>
      </c>
      <c r="Y10" s="3">
        <f ca="1">Total!E10</f>
        <v>3290.5340000000001</v>
      </c>
      <c r="AB10" s="3">
        <f t="shared" ca="1" si="1"/>
        <v>9.2325440186912238E-4</v>
      </c>
      <c r="AC10" s="3">
        <f t="shared" ca="1" si="1"/>
        <v>1.5988286399714962E-3</v>
      </c>
      <c r="AD10" s="3">
        <f t="shared" ca="1" si="1"/>
        <v>1.1083307451009272E-3</v>
      </c>
      <c r="AE10" s="3">
        <f t="shared" ca="1" si="1"/>
        <v>7.9628412895900082E-3</v>
      </c>
      <c r="AF10" s="3">
        <f t="shared" ca="1" si="1"/>
        <v>1.8100405587663511E-3</v>
      </c>
      <c r="AG10" s="3">
        <f t="shared" ca="1" si="1"/>
        <v>1.7228206728755482E-3</v>
      </c>
      <c r="AH10" s="3">
        <f t="shared" ca="1" si="1"/>
        <v>5.9169727466730818E-4</v>
      </c>
      <c r="AI10" s="3">
        <f t="shared" ca="1" si="1"/>
        <v>1.4438385988413275E-3</v>
      </c>
      <c r="AJ10" s="3">
        <f t="shared" ca="1" si="1"/>
        <v>7.71029869316047E-3</v>
      </c>
      <c r="AK10" s="3">
        <f t="shared" ca="1" si="1"/>
        <v>1.8559297670226081E-3</v>
      </c>
      <c r="AM10" s="3">
        <f t="shared" ca="1" si="4"/>
        <v>2.6727880641865168E-2</v>
      </c>
    </row>
    <row r="11" spans="1:39" x14ac:dyDescent="0.25">
      <c r="A11" s="3" t="s">
        <v>2</v>
      </c>
      <c r="B11" s="3">
        <v>47</v>
      </c>
      <c r="C11" s="3">
        <v>1</v>
      </c>
      <c r="D11" s="3">
        <v>126274.19500000001</v>
      </c>
      <c r="E11" s="3">
        <v>4.1539999999999999</v>
      </c>
      <c r="F11" s="3">
        <v>176</v>
      </c>
    </row>
    <row r="12" spans="1:39" x14ac:dyDescent="0.25">
      <c r="A12" s="3" t="s">
        <v>2</v>
      </c>
      <c r="B12" s="3">
        <v>47</v>
      </c>
      <c r="C12" s="3">
        <v>1</v>
      </c>
      <c r="D12" s="3">
        <v>126237.38800000001</v>
      </c>
      <c r="E12" s="3">
        <v>4.1529999999999996</v>
      </c>
      <c r="F12" s="3">
        <v>185</v>
      </c>
    </row>
    <row r="13" spans="1:39" x14ac:dyDescent="0.25">
      <c r="A13" s="3" t="s">
        <v>2</v>
      </c>
      <c r="B13" s="3">
        <v>47</v>
      </c>
      <c r="C13" s="3">
        <v>1</v>
      </c>
      <c r="D13" s="3">
        <v>126310.44100000001</v>
      </c>
      <c r="E13" s="3">
        <v>4.149</v>
      </c>
      <c r="F13" s="3">
        <v>181</v>
      </c>
    </row>
    <row r="14" spans="1:39" x14ac:dyDescent="0.25">
      <c r="A14" s="3" t="s">
        <v>2</v>
      </c>
      <c r="B14" s="3">
        <v>47</v>
      </c>
      <c r="C14" s="3">
        <v>1</v>
      </c>
      <c r="D14" s="3">
        <v>126303.03999999999</v>
      </c>
      <c r="E14" s="3">
        <v>4.1399999999999997</v>
      </c>
      <c r="F14" s="3">
        <v>186</v>
      </c>
    </row>
    <row r="15" spans="1:39" x14ac:dyDescent="0.25">
      <c r="A15" s="3" t="s">
        <v>2</v>
      </c>
      <c r="B15" s="3">
        <v>47</v>
      </c>
      <c r="C15" s="3">
        <v>1</v>
      </c>
      <c r="D15" s="3">
        <v>126220.512</v>
      </c>
      <c r="E15" s="3">
        <v>4.1539999999999999</v>
      </c>
      <c r="F15" s="3">
        <v>188</v>
      </c>
    </row>
    <row r="16" spans="1:39" x14ac:dyDescent="0.25">
      <c r="A16" s="3" t="s">
        <v>2</v>
      </c>
      <c r="B16" s="3">
        <v>47</v>
      </c>
      <c r="C16" s="3">
        <v>1</v>
      </c>
      <c r="D16" s="3">
        <v>126210.792</v>
      </c>
      <c r="E16" s="3">
        <v>4.1520000000000001</v>
      </c>
      <c r="F16" s="3">
        <v>188</v>
      </c>
    </row>
    <row r="17" spans="1:6" x14ac:dyDescent="0.25">
      <c r="A17" s="3" t="s">
        <v>2</v>
      </c>
      <c r="B17" s="3">
        <v>47</v>
      </c>
      <c r="C17" s="3">
        <v>1</v>
      </c>
      <c r="D17" s="3">
        <v>126298.458</v>
      </c>
      <c r="E17" s="3">
        <v>4.1470000000000002</v>
      </c>
      <c r="F17" s="3">
        <v>190</v>
      </c>
    </row>
    <row r="18" spans="1:6" x14ac:dyDescent="0.25">
      <c r="A18" s="3" t="s">
        <v>2</v>
      </c>
      <c r="B18" s="3">
        <v>47</v>
      </c>
      <c r="C18" s="3">
        <v>1</v>
      </c>
      <c r="D18" s="3">
        <v>126270.97500000001</v>
      </c>
      <c r="E18" s="3">
        <v>4.1399999999999997</v>
      </c>
      <c r="F18" s="3">
        <v>176</v>
      </c>
    </row>
    <row r="19" spans="1:6" x14ac:dyDescent="0.25">
      <c r="A19" s="3" t="s">
        <v>2</v>
      </c>
      <c r="B19" s="3">
        <v>47</v>
      </c>
      <c r="C19" s="3">
        <v>1</v>
      </c>
      <c r="D19" s="3">
        <v>126291.614</v>
      </c>
      <c r="E19" s="3">
        <v>4.1429999999999998</v>
      </c>
      <c r="F19" s="3">
        <v>184</v>
      </c>
    </row>
    <row r="20" spans="1:6" x14ac:dyDescent="0.25">
      <c r="A20" s="3" t="s">
        <v>2</v>
      </c>
      <c r="B20" s="3">
        <v>47</v>
      </c>
      <c r="C20" s="3">
        <v>1</v>
      </c>
      <c r="D20" s="3">
        <v>126202.041</v>
      </c>
      <c r="E20" s="3">
        <v>4.1559999999999997</v>
      </c>
      <c r="F20" s="3">
        <v>186</v>
      </c>
    </row>
    <row r="21" spans="1:6" x14ac:dyDescent="0.25">
      <c r="A21" s="3" t="s">
        <v>2</v>
      </c>
      <c r="B21" s="3">
        <v>100</v>
      </c>
      <c r="C21" s="3">
        <v>1</v>
      </c>
      <c r="D21" s="3">
        <v>1217182.2560000001</v>
      </c>
      <c r="E21" s="3">
        <v>22.135999999999999</v>
      </c>
      <c r="F21" s="3">
        <v>193</v>
      </c>
    </row>
    <row r="22" spans="1:6" x14ac:dyDescent="0.25">
      <c r="A22" s="3" t="s">
        <v>2</v>
      </c>
      <c r="B22" s="3">
        <v>100</v>
      </c>
      <c r="C22" s="3">
        <v>1</v>
      </c>
      <c r="D22" s="3">
        <v>1217345.7790000001</v>
      </c>
      <c r="E22" s="3">
        <v>22.131</v>
      </c>
      <c r="F22" s="3">
        <v>196</v>
      </c>
    </row>
    <row r="23" spans="1:6" x14ac:dyDescent="0.25">
      <c r="A23" s="3" t="s">
        <v>2</v>
      </c>
      <c r="B23" s="3">
        <v>100</v>
      </c>
      <c r="C23" s="3">
        <v>1</v>
      </c>
      <c r="D23" s="3">
        <v>1216839.064</v>
      </c>
      <c r="E23" s="3">
        <v>22.123000000000001</v>
      </c>
      <c r="F23" s="3">
        <v>198</v>
      </c>
    </row>
    <row r="24" spans="1:6" x14ac:dyDescent="0.25">
      <c r="A24" s="3" t="s">
        <v>2</v>
      </c>
      <c r="B24" s="3">
        <v>100</v>
      </c>
      <c r="C24" s="3">
        <v>1</v>
      </c>
      <c r="D24" s="3">
        <v>1217782.7180000001</v>
      </c>
      <c r="E24" s="3">
        <v>22.091000000000001</v>
      </c>
      <c r="F24" s="3">
        <v>197</v>
      </c>
    </row>
    <row r="25" spans="1:6" x14ac:dyDescent="0.25">
      <c r="A25" s="3" t="s">
        <v>2</v>
      </c>
      <c r="B25" s="3">
        <v>100</v>
      </c>
      <c r="C25" s="3">
        <v>1</v>
      </c>
      <c r="D25" s="3">
        <v>1217211.5390000001</v>
      </c>
      <c r="E25" s="3">
        <v>22.084</v>
      </c>
      <c r="F25" s="3">
        <v>195</v>
      </c>
    </row>
    <row r="26" spans="1:6" x14ac:dyDescent="0.25">
      <c r="A26" s="3" t="s">
        <v>2</v>
      </c>
      <c r="B26" s="3">
        <v>100</v>
      </c>
      <c r="C26" s="3">
        <v>1</v>
      </c>
      <c r="D26" s="3">
        <v>1216917.523</v>
      </c>
      <c r="E26" s="3">
        <v>22.100999999999999</v>
      </c>
      <c r="F26" s="3">
        <v>199</v>
      </c>
    </row>
    <row r="27" spans="1:6" x14ac:dyDescent="0.25">
      <c r="A27" s="3" t="s">
        <v>2</v>
      </c>
      <c r="B27" s="3">
        <v>100</v>
      </c>
      <c r="C27" s="3">
        <v>1</v>
      </c>
      <c r="D27" s="3">
        <v>1217073.925</v>
      </c>
      <c r="E27" s="3">
        <v>22.138000000000002</v>
      </c>
      <c r="F27" s="3">
        <v>199</v>
      </c>
    </row>
    <row r="28" spans="1:6" x14ac:dyDescent="0.25">
      <c r="A28" s="3" t="s">
        <v>2</v>
      </c>
      <c r="B28" s="3">
        <v>100</v>
      </c>
      <c r="C28" s="3">
        <v>1</v>
      </c>
      <c r="D28" s="3">
        <v>1217124.0149999999</v>
      </c>
      <c r="E28" s="3">
        <v>22.093</v>
      </c>
      <c r="F28" s="3">
        <v>196</v>
      </c>
    </row>
    <row r="29" spans="1:6" x14ac:dyDescent="0.25">
      <c r="A29" s="3" t="s">
        <v>2</v>
      </c>
      <c r="B29" s="3">
        <v>100</v>
      </c>
      <c r="C29" s="3">
        <v>1</v>
      </c>
      <c r="D29" s="3">
        <v>1217471.9180000001</v>
      </c>
      <c r="E29" s="3">
        <v>22.085000000000001</v>
      </c>
      <c r="F29" s="3">
        <v>195</v>
      </c>
    </row>
    <row r="30" spans="1:6" x14ac:dyDescent="0.25">
      <c r="A30" s="3" t="s">
        <v>2</v>
      </c>
      <c r="B30" s="3">
        <v>100</v>
      </c>
      <c r="C30" s="3">
        <v>1</v>
      </c>
      <c r="D30" s="3">
        <v>1217442.726</v>
      </c>
      <c r="E30" s="3">
        <v>22.065000000000001</v>
      </c>
      <c r="F30" s="3">
        <v>196</v>
      </c>
    </row>
    <row r="31" spans="1:6" x14ac:dyDescent="0.25">
      <c r="A31" s="3" t="s">
        <v>1</v>
      </c>
      <c r="B31" s="3">
        <v>30</v>
      </c>
      <c r="C31" s="3">
        <v>1</v>
      </c>
      <c r="D31" s="3">
        <v>19997.704000000002</v>
      </c>
      <c r="E31" s="3">
        <v>1.35</v>
      </c>
      <c r="F31" s="3">
        <v>115</v>
      </c>
    </row>
    <row r="32" spans="1:6" x14ac:dyDescent="0.25">
      <c r="A32" s="3" t="s">
        <v>1</v>
      </c>
      <c r="B32" s="3">
        <v>30</v>
      </c>
      <c r="C32" s="3">
        <v>1</v>
      </c>
      <c r="D32" s="3">
        <v>19972.972000000002</v>
      </c>
      <c r="E32" s="3">
        <v>1.3460000000000001</v>
      </c>
      <c r="F32" s="3">
        <v>125</v>
      </c>
    </row>
    <row r="33" spans="1:6" x14ac:dyDescent="0.25">
      <c r="A33" s="3" t="s">
        <v>1</v>
      </c>
      <c r="B33" s="3">
        <v>30</v>
      </c>
      <c r="C33" s="3">
        <v>1</v>
      </c>
      <c r="D33" s="3">
        <v>20011.339</v>
      </c>
      <c r="E33" s="3">
        <v>1.377</v>
      </c>
      <c r="F33" s="3">
        <v>135</v>
      </c>
    </row>
    <row r="34" spans="1:6" x14ac:dyDescent="0.25">
      <c r="A34" s="3" t="s">
        <v>1</v>
      </c>
      <c r="B34" s="3">
        <v>30</v>
      </c>
      <c r="C34" s="3">
        <v>1</v>
      </c>
      <c r="D34" s="3">
        <v>19989.616000000002</v>
      </c>
      <c r="E34" s="3">
        <v>1.351</v>
      </c>
      <c r="F34" s="3">
        <v>130</v>
      </c>
    </row>
    <row r="35" spans="1:6" x14ac:dyDescent="0.25">
      <c r="A35" s="3" t="s">
        <v>1</v>
      </c>
      <c r="B35" s="3">
        <v>30</v>
      </c>
      <c r="C35" s="3">
        <v>1</v>
      </c>
      <c r="D35" s="3">
        <v>20039.025000000001</v>
      </c>
      <c r="E35" s="3">
        <v>1.349</v>
      </c>
      <c r="F35" s="3">
        <v>117</v>
      </c>
    </row>
    <row r="36" spans="1:6" x14ac:dyDescent="0.25">
      <c r="A36" s="3" t="s">
        <v>1</v>
      </c>
      <c r="B36" s="3">
        <v>30</v>
      </c>
      <c r="C36" s="3">
        <v>1</v>
      </c>
      <c r="D36" s="3">
        <v>20003.405999999999</v>
      </c>
      <c r="E36" s="3">
        <v>1.351</v>
      </c>
      <c r="F36" s="3">
        <v>129</v>
      </c>
    </row>
    <row r="37" spans="1:6" x14ac:dyDescent="0.25">
      <c r="A37" s="3" t="s">
        <v>1</v>
      </c>
      <c r="B37" s="3">
        <v>30</v>
      </c>
      <c r="C37" s="3">
        <v>1</v>
      </c>
      <c r="D37" s="3">
        <v>20021.580999999998</v>
      </c>
      <c r="E37" s="3">
        <v>1.351</v>
      </c>
      <c r="F37" s="3">
        <v>122</v>
      </c>
    </row>
    <row r="38" spans="1:6" x14ac:dyDescent="0.25">
      <c r="A38" s="3" t="s">
        <v>1</v>
      </c>
      <c r="B38" s="3">
        <v>30</v>
      </c>
      <c r="C38" s="3">
        <v>1</v>
      </c>
      <c r="D38" s="3">
        <v>20036.185000000001</v>
      </c>
      <c r="E38" s="3">
        <v>1.3520000000000001</v>
      </c>
      <c r="F38" s="3">
        <v>125</v>
      </c>
    </row>
    <row r="39" spans="1:6" x14ac:dyDescent="0.25">
      <c r="A39" s="3" t="s">
        <v>1</v>
      </c>
      <c r="B39" s="3">
        <v>30</v>
      </c>
      <c r="C39" s="3">
        <v>1</v>
      </c>
      <c r="D39" s="3">
        <v>20000.97</v>
      </c>
      <c r="E39" s="3">
        <v>1.3480000000000001</v>
      </c>
      <c r="F39" s="3">
        <v>111</v>
      </c>
    </row>
    <row r="40" spans="1:6" x14ac:dyDescent="0.25">
      <c r="A40" s="3" t="s">
        <v>1</v>
      </c>
      <c r="B40" s="3">
        <v>30</v>
      </c>
      <c r="C40" s="3">
        <v>1</v>
      </c>
      <c r="D40" s="3">
        <v>19992.655999999999</v>
      </c>
      <c r="E40" s="3">
        <v>1.3480000000000001</v>
      </c>
      <c r="F40" s="3">
        <v>127</v>
      </c>
    </row>
    <row r="41" spans="1:6" x14ac:dyDescent="0.25">
      <c r="A41" s="3" t="s">
        <v>1</v>
      </c>
      <c r="B41" s="3">
        <v>50</v>
      </c>
      <c r="C41" s="3">
        <v>1</v>
      </c>
      <c r="D41" s="3">
        <v>35379.96</v>
      </c>
      <c r="E41" s="3">
        <v>3.044</v>
      </c>
      <c r="F41" s="3">
        <v>113</v>
      </c>
    </row>
    <row r="42" spans="1:6" x14ac:dyDescent="0.25">
      <c r="A42" s="3" t="s">
        <v>1</v>
      </c>
      <c r="B42" s="3">
        <v>50</v>
      </c>
      <c r="C42" s="3">
        <v>1</v>
      </c>
      <c r="D42" s="3">
        <v>35377.811999999998</v>
      </c>
      <c r="E42" s="3">
        <v>3.048</v>
      </c>
      <c r="F42" s="3">
        <v>115</v>
      </c>
    </row>
    <row r="43" spans="1:6" x14ac:dyDescent="0.25">
      <c r="A43" s="3" t="s">
        <v>1</v>
      </c>
      <c r="B43" s="3">
        <v>50</v>
      </c>
      <c r="C43" s="3">
        <v>1</v>
      </c>
      <c r="D43" s="3">
        <v>35392.01</v>
      </c>
      <c r="E43" s="3">
        <v>3.0470000000000002</v>
      </c>
      <c r="F43" s="3">
        <v>116</v>
      </c>
    </row>
    <row r="44" spans="1:6" x14ac:dyDescent="0.25">
      <c r="A44" s="3" t="s">
        <v>1</v>
      </c>
      <c r="B44" s="3">
        <v>50</v>
      </c>
      <c r="C44" s="3">
        <v>1</v>
      </c>
      <c r="D44" s="3">
        <v>35386.546999999999</v>
      </c>
      <c r="E44" s="3">
        <v>3.04</v>
      </c>
      <c r="F44" s="3">
        <v>116</v>
      </c>
    </row>
    <row r="45" spans="1:6" x14ac:dyDescent="0.25">
      <c r="A45" s="3" t="s">
        <v>1</v>
      </c>
      <c r="B45" s="3">
        <v>50</v>
      </c>
      <c r="C45" s="3">
        <v>1</v>
      </c>
      <c r="D45" s="3">
        <v>35299.089999999997</v>
      </c>
      <c r="E45" s="3">
        <v>3.0369999999999999</v>
      </c>
      <c r="F45" s="3">
        <v>118</v>
      </c>
    </row>
    <row r="46" spans="1:6" x14ac:dyDescent="0.25">
      <c r="A46" s="3" t="s">
        <v>1</v>
      </c>
      <c r="B46" s="3">
        <v>50</v>
      </c>
      <c r="C46" s="3">
        <v>1</v>
      </c>
      <c r="D46" s="3">
        <v>35366.266000000003</v>
      </c>
      <c r="E46" s="3">
        <v>3.0449999999999999</v>
      </c>
      <c r="F46" s="3">
        <v>115</v>
      </c>
    </row>
    <row r="47" spans="1:6" x14ac:dyDescent="0.25">
      <c r="A47" s="3" t="s">
        <v>1</v>
      </c>
      <c r="B47" s="3">
        <v>50</v>
      </c>
      <c r="C47" s="3">
        <v>1</v>
      </c>
      <c r="D47" s="3">
        <v>35354.953999999998</v>
      </c>
      <c r="E47" s="3">
        <v>3.0350000000000001</v>
      </c>
      <c r="F47" s="3">
        <v>112</v>
      </c>
    </row>
    <row r="48" spans="1:6" x14ac:dyDescent="0.25">
      <c r="A48" s="3" t="s">
        <v>1</v>
      </c>
      <c r="B48" s="3">
        <v>50</v>
      </c>
      <c r="C48" s="3">
        <v>1</v>
      </c>
      <c r="D48" s="3">
        <v>35427.087</v>
      </c>
      <c r="E48" s="3">
        <v>3.0510000000000002</v>
      </c>
      <c r="F48" s="3">
        <v>116</v>
      </c>
    </row>
    <row r="49" spans="1:6" x14ac:dyDescent="0.25">
      <c r="A49" s="3" t="s">
        <v>1</v>
      </c>
      <c r="B49" s="3">
        <v>50</v>
      </c>
      <c r="C49" s="3">
        <v>1</v>
      </c>
      <c r="D49" s="3">
        <v>35323.932000000001</v>
      </c>
      <c r="E49" s="3">
        <v>3.0430000000000001</v>
      </c>
      <c r="F49" s="3">
        <v>113</v>
      </c>
    </row>
    <row r="50" spans="1:6" x14ac:dyDescent="0.25">
      <c r="A50" s="3" t="s">
        <v>1</v>
      </c>
      <c r="B50" s="3">
        <v>50</v>
      </c>
      <c r="C50" s="3">
        <v>1</v>
      </c>
      <c r="D50" s="3">
        <v>35413.398999999998</v>
      </c>
      <c r="E50" s="3">
        <v>3.0430000000000001</v>
      </c>
      <c r="F50" s="3">
        <v>114</v>
      </c>
    </row>
    <row r="51" spans="1:6" x14ac:dyDescent="0.25">
      <c r="A51" s="3" t="s">
        <v>1</v>
      </c>
      <c r="B51" s="3">
        <v>100</v>
      </c>
      <c r="C51" s="3">
        <v>1</v>
      </c>
      <c r="D51" s="3">
        <v>63122.644</v>
      </c>
      <c r="E51" s="3">
        <v>11.715999999999999</v>
      </c>
      <c r="F51" s="3">
        <v>110</v>
      </c>
    </row>
    <row r="52" spans="1:6" x14ac:dyDescent="0.25">
      <c r="A52" s="3" t="s">
        <v>1</v>
      </c>
      <c r="B52" s="3">
        <v>100</v>
      </c>
      <c r="C52" s="3">
        <v>1</v>
      </c>
      <c r="D52" s="3">
        <v>63250.402999999998</v>
      </c>
      <c r="E52" s="3">
        <v>11.733000000000001</v>
      </c>
      <c r="F52" s="3">
        <v>109</v>
      </c>
    </row>
    <row r="53" spans="1:6" x14ac:dyDescent="0.25">
      <c r="A53" s="3" t="s">
        <v>1</v>
      </c>
      <c r="B53" s="3">
        <v>100</v>
      </c>
      <c r="C53" s="3">
        <v>1</v>
      </c>
      <c r="D53" s="3">
        <v>63155.87</v>
      </c>
      <c r="E53" s="3">
        <v>11.762</v>
      </c>
      <c r="F53" s="3">
        <v>109</v>
      </c>
    </row>
    <row r="54" spans="1:6" x14ac:dyDescent="0.25">
      <c r="A54" s="3" t="s">
        <v>1</v>
      </c>
      <c r="B54" s="3">
        <v>100</v>
      </c>
      <c r="C54" s="3">
        <v>1</v>
      </c>
      <c r="D54" s="3">
        <v>63120.851000000002</v>
      </c>
      <c r="E54" s="3">
        <v>11.709</v>
      </c>
      <c r="F54" s="3">
        <v>108</v>
      </c>
    </row>
    <row r="55" spans="1:6" x14ac:dyDescent="0.25">
      <c r="A55" s="3" t="s">
        <v>1</v>
      </c>
      <c r="B55" s="3">
        <v>100</v>
      </c>
      <c r="C55" s="3">
        <v>1</v>
      </c>
      <c r="D55" s="3">
        <v>63195.326999999997</v>
      </c>
      <c r="E55" s="3">
        <v>11.733000000000001</v>
      </c>
      <c r="F55" s="3">
        <v>107</v>
      </c>
    </row>
    <row r="56" spans="1:6" x14ac:dyDescent="0.25">
      <c r="A56" s="3" t="s">
        <v>1</v>
      </c>
      <c r="B56" s="3">
        <v>100</v>
      </c>
      <c r="C56" s="3">
        <v>1</v>
      </c>
      <c r="D56" s="3">
        <v>63145.233999999997</v>
      </c>
      <c r="E56" s="3">
        <v>11.696</v>
      </c>
      <c r="F56" s="3">
        <v>108</v>
      </c>
    </row>
    <row r="57" spans="1:6" x14ac:dyDescent="0.25">
      <c r="A57" s="3" t="s">
        <v>1</v>
      </c>
      <c r="B57" s="3">
        <v>100</v>
      </c>
      <c r="C57" s="3">
        <v>1</v>
      </c>
      <c r="D57" s="3">
        <v>63166.67</v>
      </c>
      <c r="E57" s="3">
        <v>11.72</v>
      </c>
      <c r="F57" s="3">
        <v>109</v>
      </c>
    </row>
    <row r="58" spans="1:6" x14ac:dyDescent="0.25">
      <c r="A58" s="3" t="s">
        <v>1</v>
      </c>
      <c r="B58" s="3">
        <v>100</v>
      </c>
      <c r="C58" s="3">
        <v>1</v>
      </c>
      <c r="D58" s="3">
        <v>63163.195</v>
      </c>
      <c r="E58" s="3">
        <v>11.686</v>
      </c>
      <c r="F58" s="3">
        <v>108</v>
      </c>
    </row>
    <row r="59" spans="1:6" x14ac:dyDescent="0.25">
      <c r="A59" s="3" t="s">
        <v>1</v>
      </c>
      <c r="B59" s="3">
        <v>100</v>
      </c>
      <c r="C59" s="3">
        <v>1</v>
      </c>
      <c r="D59" s="3">
        <v>63228.362000000001</v>
      </c>
      <c r="E59" s="3">
        <v>11.746</v>
      </c>
      <c r="F59" s="3">
        <v>109</v>
      </c>
    </row>
    <row r="60" spans="1:6" x14ac:dyDescent="0.25">
      <c r="A60" s="3" t="s">
        <v>1</v>
      </c>
      <c r="B60" s="3">
        <v>100</v>
      </c>
      <c r="C60" s="3">
        <v>1</v>
      </c>
      <c r="D60" s="3">
        <v>63139.574000000001</v>
      </c>
      <c r="E60" s="3">
        <v>11.741</v>
      </c>
      <c r="F60" s="3">
        <v>107</v>
      </c>
    </row>
    <row r="61" spans="1:6" x14ac:dyDescent="0.25">
      <c r="A61" s="3" t="s">
        <v>0</v>
      </c>
      <c r="B61" s="3">
        <v>25</v>
      </c>
      <c r="C61" s="3">
        <v>1</v>
      </c>
      <c r="D61" s="3">
        <v>723.54399999999998</v>
      </c>
      <c r="E61" s="3">
        <v>0.90500000000000003</v>
      </c>
      <c r="F61" s="3">
        <v>108</v>
      </c>
    </row>
    <row r="62" spans="1:6" x14ac:dyDescent="0.25">
      <c r="A62" s="3" t="s">
        <v>0</v>
      </c>
      <c r="B62" s="3">
        <v>25</v>
      </c>
      <c r="C62" s="3">
        <v>1</v>
      </c>
      <c r="D62" s="3">
        <v>722.93499999999995</v>
      </c>
      <c r="E62" s="3">
        <v>0.90400000000000003</v>
      </c>
      <c r="F62" s="3">
        <v>125</v>
      </c>
    </row>
    <row r="63" spans="1:6" x14ac:dyDescent="0.25">
      <c r="A63" s="3" t="s">
        <v>0</v>
      </c>
      <c r="B63" s="3">
        <v>25</v>
      </c>
      <c r="C63" s="3">
        <v>1</v>
      </c>
      <c r="D63" s="3">
        <v>723.03399999999999</v>
      </c>
      <c r="E63" s="3">
        <v>0.90800000000000003</v>
      </c>
      <c r="F63" s="3">
        <v>99</v>
      </c>
    </row>
    <row r="64" spans="1:6" x14ac:dyDescent="0.25">
      <c r="A64" s="3" t="s">
        <v>0</v>
      </c>
      <c r="B64" s="3">
        <v>25</v>
      </c>
      <c r="C64" s="3">
        <v>1</v>
      </c>
      <c r="D64" s="3">
        <v>723.68499999999995</v>
      </c>
      <c r="E64" s="3">
        <v>0.90400000000000003</v>
      </c>
      <c r="F64" s="3">
        <v>114</v>
      </c>
    </row>
    <row r="65" spans="1:6" x14ac:dyDescent="0.25">
      <c r="A65" s="3" t="s">
        <v>0</v>
      </c>
      <c r="B65" s="3">
        <v>25</v>
      </c>
      <c r="C65" s="3">
        <v>1</v>
      </c>
      <c r="D65" s="3">
        <v>723.37800000000004</v>
      </c>
      <c r="E65" s="3">
        <v>0.90500000000000003</v>
      </c>
      <c r="F65" s="3">
        <v>104</v>
      </c>
    </row>
    <row r="66" spans="1:6" x14ac:dyDescent="0.25">
      <c r="A66" s="3" t="s">
        <v>0</v>
      </c>
      <c r="B66" s="3">
        <v>25</v>
      </c>
      <c r="C66" s="3">
        <v>1</v>
      </c>
      <c r="D66" s="3">
        <v>723.61500000000001</v>
      </c>
      <c r="E66" s="3">
        <v>0.90500000000000003</v>
      </c>
      <c r="F66" s="3">
        <v>123</v>
      </c>
    </row>
    <row r="67" spans="1:6" x14ac:dyDescent="0.25">
      <c r="A67" s="3" t="s">
        <v>0</v>
      </c>
      <c r="B67" s="3">
        <v>25</v>
      </c>
      <c r="C67" s="3">
        <v>1</v>
      </c>
      <c r="D67" s="3">
        <v>723.05799999999999</v>
      </c>
      <c r="E67" s="3">
        <v>0.90200000000000002</v>
      </c>
      <c r="F67" s="3">
        <v>107</v>
      </c>
    </row>
    <row r="68" spans="1:6" x14ac:dyDescent="0.25">
      <c r="A68" s="3" t="s">
        <v>0</v>
      </c>
      <c r="B68" s="3">
        <v>25</v>
      </c>
      <c r="C68" s="3">
        <v>1</v>
      </c>
      <c r="D68" s="3">
        <v>723.82600000000002</v>
      </c>
      <c r="E68" s="3">
        <v>0.90100000000000002</v>
      </c>
      <c r="F68" s="3">
        <v>113</v>
      </c>
    </row>
    <row r="69" spans="1:6" x14ac:dyDescent="0.25">
      <c r="A69" s="3" t="s">
        <v>0</v>
      </c>
      <c r="B69" s="3">
        <v>25</v>
      </c>
      <c r="C69" s="3">
        <v>1</v>
      </c>
      <c r="D69" s="3">
        <v>723.60400000000004</v>
      </c>
      <c r="E69" s="3">
        <v>0.90200000000000002</v>
      </c>
      <c r="F69" s="3">
        <v>109</v>
      </c>
    </row>
    <row r="70" spans="1:6" x14ac:dyDescent="0.25">
      <c r="A70" s="3" t="s">
        <v>0</v>
      </c>
      <c r="B70" s="3">
        <v>25</v>
      </c>
      <c r="C70" s="3">
        <v>1</v>
      </c>
      <c r="D70" s="3">
        <v>723.67100000000005</v>
      </c>
      <c r="E70" s="3">
        <v>0.90200000000000002</v>
      </c>
      <c r="F70" s="3">
        <v>115</v>
      </c>
    </row>
    <row r="71" spans="1:6" x14ac:dyDescent="0.25">
      <c r="A71" s="3" t="s">
        <v>0</v>
      </c>
      <c r="B71" s="3">
        <v>50</v>
      </c>
      <c r="C71" s="3">
        <v>1</v>
      </c>
      <c r="D71" s="3">
        <v>1572.8779999999999</v>
      </c>
      <c r="E71" s="3">
        <v>3.3860000000000001</v>
      </c>
      <c r="F71" s="3">
        <v>130</v>
      </c>
    </row>
    <row r="72" spans="1:6" x14ac:dyDescent="0.25">
      <c r="A72" s="3" t="s">
        <v>0</v>
      </c>
      <c r="B72" s="3">
        <v>50</v>
      </c>
      <c r="C72" s="3">
        <v>1</v>
      </c>
      <c r="D72" s="3">
        <v>1572.9949999999999</v>
      </c>
      <c r="E72" s="3">
        <v>3.38</v>
      </c>
      <c r="F72" s="3">
        <v>127</v>
      </c>
    </row>
    <row r="73" spans="1:6" x14ac:dyDescent="0.25">
      <c r="A73" s="3" t="s">
        <v>0</v>
      </c>
      <c r="B73" s="3">
        <v>50</v>
      </c>
      <c r="C73" s="3">
        <v>1</v>
      </c>
      <c r="D73" s="3">
        <v>1571.848</v>
      </c>
      <c r="E73" s="3">
        <v>3.3860000000000001</v>
      </c>
      <c r="F73" s="3">
        <v>134</v>
      </c>
    </row>
    <row r="74" spans="1:6" x14ac:dyDescent="0.25">
      <c r="A74" s="3" t="s">
        <v>0</v>
      </c>
      <c r="B74" s="3">
        <v>50</v>
      </c>
      <c r="C74" s="3">
        <v>1</v>
      </c>
      <c r="D74" s="3">
        <v>1573.047</v>
      </c>
      <c r="E74" s="3">
        <v>3.3839999999999999</v>
      </c>
      <c r="F74" s="3">
        <v>126</v>
      </c>
    </row>
    <row r="75" spans="1:6" x14ac:dyDescent="0.25">
      <c r="A75" s="3" t="s">
        <v>0</v>
      </c>
      <c r="B75" s="3">
        <v>50</v>
      </c>
      <c r="C75" s="3">
        <v>1</v>
      </c>
      <c r="D75" s="3">
        <v>1572.12</v>
      </c>
      <c r="E75" s="3">
        <v>3.3730000000000002</v>
      </c>
      <c r="F75" s="3">
        <v>133</v>
      </c>
    </row>
    <row r="76" spans="1:6" x14ac:dyDescent="0.25">
      <c r="A76" s="3" t="s">
        <v>0</v>
      </c>
      <c r="B76" s="3">
        <v>50</v>
      </c>
      <c r="C76" s="3">
        <v>1</v>
      </c>
      <c r="D76" s="3">
        <v>1571.8340000000001</v>
      </c>
      <c r="E76" s="3">
        <v>3.3759999999999999</v>
      </c>
      <c r="F76" s="3">
        <v>127</v>
      </c>
    </row>
    <row r="77" spans="1:6" x14ac:dyDescent="0.25">
      <c r="A77" s="3" t="s">
        <v>0</v>
      </c>
      <c r="B77" s="3">
        <v>50</v>
      </c>
      <c r="C77" s="3">
        <v>1</v>
      </c>
      <c r="D77" s="3">
        <v>1571.6079999999999</v>
      </c>
      <c r="E77" s="3">
        <v>3.38</v>
      </c>
      <c r="F77" s="3">
        <v>129</v>
      </c>
    </row>
    <row r="78" spans="1:6" x14ac:dyDescent="0.25">
      <c r="A78" s="3" t="s">
        <v>0</v>
      </c>
      <c r="B78" s="3">
        <v>50</v>
      </c>
      <c r="C78" s="3">
        <v>1</v>
      </c>
      <c r="D78" s="3">
        <v>1572.7739999999999</v>
      </c>
      <c r="E78" s="3">
        <v>3.383</v>
      </c>
      <c r="F78" s="3">
        <v>128</v>
      </c>
    </row>
    <row r="79" spans="1:6" x14ac:dyDescent="0.25">
      <c r="A79" s="3" t="s">
        <v>0</v>
      </c>
      <c r="B79" s="3">
        <v>50</v>
      </c>
      <c r="C79" s="3">
        <v>1</v>
      </c>
      <c r="D79" s="3">
        <v>1570.8530000000001</v>
      </c>
      <c r="E79" s="3">
        <v>3.3849999999999998</v>
      </c>
      <c r="F79" s="3">
        <v>133</v>
      </c>
    </row>
    <row r="80" spans="1:6" x14ac:dyDescent="0.25">
      <c r="A80" s="3" t="s">
        <v>0</v>
      </c>
      <c r="B80" s="3">
        <v>50</v>
      </c>
      <c r="C80" s="3">
        <v>1</v>
      </c>
      <c r="D80" s="3">
        <v>1572.768</v>
      </c>
      <c r="E80" s="3">
        <v>3.3769999999999998</v>
      </c>
      <c r="F80" s="3">
        <v>130</v>
      </c>
    </row>
    <row r="81" spans="1:6" x14ac:dyDescent="0.25">
      <c r="A81" s="3" t="s">
        <v>0</v>
      </c>
      <c r="B81" s="3">
        <v>100</v>
      </c>
      <c r="C81" s="3">
        <v>1</v>
      </c>
      <c r="D81" s="3">
        <v>3293.5720000000001</v>
      </c>
      <c r="E81" s="3">
        <v>11.356</v>
      </c>
      <c r="F81" s="3">
        <v>106</v>
      </c>
    </row>
    <row r="82" spans="1:6" x14ac:dyDescent="0.25">
      <c r="A82" s="3" t="s">
        <v>0</v>
      </c>
      <c r="B82" s="3">
        <v>100</v>
      </c>
      <c r="C82" s="3">
        <v>1</v>
      </c>
      <c r="D82" s="3">
        <v>3295.7950000000001</v>
      </c>
      <c r="E82" s="3">
        <v>11.324</v>
      </c>
      <c r="F82" s="3">
        <v>104</v>
      </c>
    </row>
    <row r="83" spans="1:6" x14ac:dyDescent="0.25">
      <c r="A83" s="3" t="s">
        <v>0</v>
      </c>
      <c r="B83" s="3">
        <v>100</v>
      </c>
      <c r="C83" s="3">
        <v>1</v>
      </c>
      <c r="D83" s="3">
        <v>3294.181</v>
      </c>
      <c r="E83" s="3">
        <v>11.438000000000001</v>
      </c>
      <c r="F83" s="3">
        <v>107</v>
      </c>
    </row>
    <row r="84" spans="1:6" x14ac:dyDescent="0.25">
      <c r="A84" s="3" t="s">
        <v>0</v>
      </c>
      <c r="B84" s="3">
        <v>100</v>
      </c>
      <c r="C84" s="3">
        <v>1</v>
      </c>
      <c r="D84" s="3">
        <v>3316.7359999999999</v>
      </c>
      <c r="E84" s="3">
        <v>11.321</v>
      </c>
      <c r="F84" s="3">
        <v>104</v>
      </c>
    </row>
    <row r="85" spans="1:6" x14ac:dyDescent="0.25">
      <c r="A85" s="3" t="s">
        <v>0</v>
      </c>
      <c r="B85" s="3">
        <v>100</v>
      </c>
      <c r="C85" s="3">
        <v>1</v>
      </c>
      <c r="D85" s="3">
        <v>3296.49</v>
      </c>
      <c r="E85" s="3">
        <v>11.333</v>
      </c>
      <c r="F85" s="3">
        <v>105</v>
      </c>
    </row>
    <row r="86" spans="1:6" x14ac:dyDescent="0.25">
      <c r="A86" s="3" t="s">
        <v>0</v>
      </c>
      <c r="B86" s="3">
        <v>100</v>
      </c>
      <c r="C86" s="3">
        <v>1</v>
      </c>
      <c r="D86" s="3">
        <v>3296.203</v>
      </c>
      <c r="E86" s="3">
        <v>11.345000000000001</v>
      </c>
      <c r="F86" s="3">
        <v>105</v>
      </c>
    </row>
    <row r="87" spans="1:6" x14ac:dyDescent="0.25">
      <c r="A87" s="3" t="s">
        <v>0</v>
      </c>
      <c r="B87" s="3">
        <v>100</v>
      </c>
      <c r="C87" s="3">
        <v>1</v>
      </c>
      <c r="D87" s="3">
        <v>3292.4810000000002</v>
      </c>
      <c r="E87" s="3">
        <v>11.384</v>
      </c>
      <c r="F87" s="3">
        <v>104</v>
      </c>
    </row>
    <row r="88" spans="1:6" x14ac:dyDescent="0.25">
      <c r="A88" s="3" t="s">
        <v>0</v>
      </c>
      <c r="B88" s="3">
        <v>100</v>
      </c>
      <c r="C88" s="3">
        <v>1</v>
      </c>
      <c r="D88" s="3">
        <v>3295.2849999999999</v>
      </c>
      <c r="E88" s="3">
        <v>11.308999999999999</v>
      </c>
      <c r="F88" s="3">
        <v>104</v>
      </c>
    </row>
    <row r="89" spans="1:6" x14ac:dyDescent="0.25">
      <c r="A89" s="3" t="s">
        <v>0</v>
      </c>
      <c r="B89" s="3">
        <v>100</v>
      </c>
      <c r="C89" s="3">
        <v>1</v>
      </c>
      <c r="D89" s="3">
        <v>3315.9050000000002</v>
      </c>
      <c r="E89" s="3">
        <v>11.372999999999999</v>
      </c>
      <c r="F89" s="3">
        <v>105</v>
      </c>
    </row>
    <row r="90" spans="1:6" x14ac:dyDescent="0.25">
      <c r="A90" s="3" t="s">
        <v>0</v>
      </c>
      <c r="B90" s="3">
        <v>100</v>
      </c>
      <c r="C90" s="3">
        <v>1</v>
      </c>
      <c r="D90" s="3">
        <v>3296.6410000000001</v>
      </c>
      <c r="E90" s="3">
        <v>11.332000000000001</v>
      </c>
      <c r="F90" s="3">
        <v>105</v>
      </c>
    </row>
  </sheetData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0"/>
  <sheetViews>
    <sheetView zoomScale="85" zoomScaleNormal="85" workbookViewId="0">
      <selection sqref="A1:F1048576"/>
    </sheetView>
  </sheetViews>
  <sheetFormatPr defaultColWidth="9" defaultRowHeight="15" x14ac:dyDescent="0.25"/>
  <cols>
    <col min="1" max="1" width="9.875" style="3" customWidth="1"/>
    <col min="2" max="2" width="3.875" style="3" customWidth="1"/>
    <col min="3" max="3" width="2.625" style="3" bestFit="1" customWidth="1"/>
    <col min="4" max="4" width="11.125" style="3" customWidth="1"/>
    <col min="5" max="5" width="7" style="3" bestFit="1" customWidth="1"/>
    <col min="6" max="6" width="4.375" style="3" bestFit="1" customWidth="1"/>
    <col min="7" max="7" width="2.375" style="3" customWidth="1"/>
    <col min="8" max="8" width="10" style="3" customWidth="1"/>
    <col min="9" max="9" width="4.375" style="3" bestFit="1" customWidth="1"/>
    <col min="10" max="10" width="3.125" style="3" bestFit="1" customWidth="1"/>
    <col min="11" max="11" width="2.375" style="3" customWidth="1"/>
    <col min="12" max="21" width="9" style="3"/>
    <col min="22" max="22" width="3.25" style="3" customWidth="1"/>
    <col min="23" max="23" width="9" style="3"/>
    <col min="24" max="24" width="3.5" style="3" customWidth="1"/>
    <col min="25" max="25" width="9" style="3"/>
    <col min="26" max="26" width="2.75" style="3" customWidth="1"/>
    <col min="27" max="27" width="2.625" style="3" customWidth="1"/>
    <col min="28" max="37" width="9" style="3"/>
    <col min="38" max="38" width="5.625" style="3" customWidth="1"/>
    <col min="39" max="16384" width="9" style="3"/>
  </cols>
  <sheetData>
    <row r="1" spans="1:39" x14ac:dyDescent="0.25">
      <c r="A1" s="3" t="s">
        <v>2</v>
      </c>
      <c r="B1" s="3">
        <v>24</v>
      </c>
      <c r="C1" s="3">
        <v>1</v>
      </c>
      <c r="D1" s="3">
        <v>56035.881999999998</v>
      </c>
      <c r="E1" s="3">
        <v>1.2370000000000001</v>
      </c>
      <c r="F1" s="3">
        <v>163</v>
      </c>
      <c r="H1" s="5" t="s">
        <v>13</v>
      </c>
      <c r="I1" s="5" t="s">
        <v>14</v>
      </c>
      <c r="J1" s="5" t="s">
        <v>10</v>
      </c>
      <c r="K1" s="2"/>
      <c r="L1" s="2">
        <v>1</v>
      </c>
      <c r="M1" s="2">
        <v>2</v>
      </c>
      <c r="N1" s="2">
        <v>3</v>
      </c>
      <c r="O1" s="2">
        <v>4</v>
      </c>
      <c r="P1" s="2">
        <v>5</v>
      </c>
      <c r="Q1" s="2">
        <v>6</v>
      </c>
      <c r="R1" s="2">
        <v>7</v>
      </c>
      <c r="S1" s="2">
        <v>8</v>
      </c>
      <c r="T1" s="2">
        <v>9</v>
      </c>
      <c r="U1" s="2">
        <v>10</v>
      </c>
      <c r="W1" s="2" t="s">
        <v>11</v>
      </c>
      <c r="X1" s="2"/>
      <c r="Y1" s="2" t="s">
        <v>9</v>
      </c>
      <c r="Z1" s="2"/>
      <c r="AM1" s="5" t="s">
        <v>12</v>
      </c>
    </row>
    <row r="2" spans="1:39" x14ac:dyDescent="0.25">
      <c r="A2" s="3" t="s">
        <v>2</v>
      </c>
      <c r="B2" s="3">
        <v>24</v>
      </c>
      <c r="C2" s="3">
        <v>1</v>
      </c>
      <c r="D2" s="3">
        <v>55989.576999999997</v>
      </c>
      <c r="E2" s="3">
        <v>1.2370000000000001</v>
      </c>
      <c r="F2" s="3">
        <v>175</v>
      </c>
      <c r="H2" s="3" t="s">
        <v>2</v>
      </c>
      <c r="I2" s="3">
        <v>24</v>
      </c>
      <c r="J2" s="3">
        <v>1</v>
      </c>
      <c r="L2" s="3">
        <f ca="1">INDIRECT("D"&amp;1+(ROW(D1)-1)*10+COLUMN(A1)-1)</f>
        <v>56035.881999999998</v>
      </c>
      <c r="M2" s="3">
        <f t="shared" ref="M2:U10" ca="1" si="0">INDIRECT("D"&amp;1+(ROW(E1)-1)*10+COLUMN(B1)-1)</f>
        <v>55989.576999999997</v>
      </c>
      <c r="N2" s="3">
        <f t="shared" ca="1" si="0"/>
        <v>56014.036</v>
      </c>
      <c r="O2" s="3">
        <f t="shared" ca="1" si="0"/>
        <v>56019.319000000003</v>
      </c>
      <c r="P2" s="3">
        <f t="shared" ca="1" si="0"/>
        <v>56022.135000000002</v>
      </c>
      <c r="Q2" s="3">
        <f t="shared" ca="1" si="0"/>
        <v>56001.434999999998</v>
      </c>
      <c r="R2" s="3">
        <f t="shared" ca="1" si="0"/>
        <v>55968.821000000004</v>
      </c>
      <c r="S2" s="3">
        <f t="shared" ca="1" si="0"/>
        <v>56072.781999999999</v>
      </c>
      <c r="T2" s="3">
        <f t="shared" ca="1" si="0"/>
        <v>56022.93</v>
      </c>
      <c r="U2" s="3">
        <f t="shared" ca="1" si="0"/>
        <v>56024.474000000002</v>
      </c>
      <c r="W2" s="3">
        <f ca="1">AVERAGE(L2:U2)</f>
        <v>56017.139100000008</v>
      </c>
      <c r="Y2" s="3">
        <f ca="1">Total!E2</f>
        <v>55722.476000000002</v>
      </c>
      <c r="AB2" s="3">
        <f t="shared" ref="AB2:AK10" ca="1" si="1">(L2-$Y2)/$Y2</f>
        <v>5.6244090804578638E-3</v>
      </c>
      <c r="AC2" s="3">
        <f t="shared" ca="1" si="1"/>
        <v>4.7934158561079576E-3</v>
      </c>
      <c r="AD2" s="3">
        <f t="shared" ca="1" si="1"/>
        <v>5.2323590215193894E-3</v>
      </c>
      <c r="AE2" s="3">
        <f t="shared" ca="1" si="1"/>
        <v>5.3271681610128152E-3</v>
      </c>
      <c r="AF2" s="3">
        <f t="shared" ca="1" si="1"/>
        <v>5.3777043216816072E-3</v>
      </c>
      <c r="AG2" s="3">
        <f t="shared" ca="1" si="1"/>
        <v>5.0062204701742845E-3</v>
      </c>
      <c r="AH2" s="3">
        <f t="shared" ca="1" si="1"/>
        <v>4.4209270241329758E-3</v>
      </c>
      <c r="AI2" s="3">
        <f t="shared" ca="1" si="1"/>
        <v>6.2866194244490647E-3</v>
      </c>
      <c r="AJ2" s="3">
        <f t="shared" ca="1" si="1"/>
        <v>5.3919714551090283E-3</v>
      </c>
      <c r="AK2" s="3">
        <f t="shared" ca="1" si="1"/>
        <v>5.4196802022939469E-3</v>
      </c>
      <c r="AM2" s="3">
        <f ca="1">SUM(AB2:AK2)</f>
        <v>5.288047501693894E-2</v>
      </c>
    </row>
    <row r="3" spans="1:39" x14ac:dyDescent="0.25">
      <c r="A3" s="3" t="s">
        <v>2</v>
      </c>
      <c r="B3" s="3">
        <v>24</v>
      </c>
      <c r="C3" s="3">
        <v>1</v>
      </c>
      <c r="D3" s="3">
        <v>56014.036</v>
      </c>
      <c r="E3" s="3">
        <v>1.2370000000000001</v>
      </c>
      <c r="F3" s="3">
        <v>195</v>
      </c>
      <c r="H3" s="3" t="s">
        <v>2</v>
      </c>
      <c r="I3" s="3">
        <v>47</v>
      </c>
      <c r="J3" s="3">
        <v>1</v>
      </c>
      <c r="L3" s="3">
        <f t="shared" ref="L3:L10" ca="1" si="2">INDIRECT("D"&amp;1+(ROW(D2)-1)*10+COLUMN(A2)-1)</f>
        <v>126256.251</v>
      </c>
      <c r="M3" s="3">
        <f t="shared" ca="1" si="0"/>
        <v>126536.74400000001</v>
      </c>
      <c r="N3" s="3">
        <f t="shared" ca="1" si="0"/>
        <v>126244.88400000001</v>
      </c>
      <c r="O3" s="3">
        <f t="shared" ca="1" si="0"/>
        <v>126347.19899999999</v>
      </c>
      <c r="P3" s="3">
        <f t="shared" ca="1" si="0"/>
        <v>126234.139</v>
      </c>
      <c r="Q3" s="3">
        <f t="shared" ca="1" si="0"/>
        <v>126470.90300000001</v>
      </c>
      <c r="R3" s="3">
        <f t="shared" ca="1" si="0"/>
        <v>126353.232</v>
      </c>
      <c r="S3" s="3">
        <f t="shared" ca="1" si="0"/>
        <v>126282.83</v>
      </c>
      <c r="T3" s="3">
        <f t="shared" ca="1" si="0"/>
        <v>126239.448</v>
      </c>
      <c r="U3" s="3">
        <f t="shared" ca="1" si="0"/>
        <v>126217.973</v>
      </c>
      <c r="W3" s="3">
        <f t="shared" ref="W3:W10" ca="1" si="3">AVERAGE(L3:U3)</f>
        <v>126318.36029999999</v>
      </c>
      <c r="Y3" s="3">
        <f ca="1">Total!E3</f>
        <v>126021.209</v>
      </c>
      <c r="AB3" s="3">
        <f t="shared" ca="1" si="1"/>
        <v>1.8650987549246672E-3</v>
      </c>
      <c r="AC3" s="3">
        <f t="shared" ca="1" si="1"/>
        <v>4.0908590235791461E-3</v>
      </c>
      <c r="AD3" s="3">
        <f t="shared" ca="1" si="1"/>
        <v>1.7748996520101858E-3</v>
      </c>
      <c r="AE3" s="3">
        <f t="shared" ca="1" si="1"/>
        <v>2.5867868003074837E-3</v>
      </c>
      <c r="AF3" s="3">
        <f t="shared" ca="1" si="1"/>
        <v>1.6896362262323083E-3</v>
      </c>
      <c r="AG3" s="3">
        <f t="shared" ca="1" si="1"/>
        <v>3.5683993477637812E-3</v>
      </c>
      <c r="AH3" s="3">
        <f t="shared" ca="1" si="1"/>
        <v>2.6346596944646123E-3</v>
      </c>
      <c r="AI3" s="3">
        <f t="shared" ca="1" si="1"/>
        <v>2.0760076980375517E-3</v>
      </c>
      <c r="AJ3" s="3">
        <f t="shared" ca="1" si="1"/>
        <v>1.7317640556836857E-3</v>
      </c>
      <c r="AK3" s="3">
        <f t="shared" ca="1" si="1"/>
        <v>1.5613562317117239E-3</v>
      </c>
      <c r="AM3" s="3">
        <f t="shared" ref="AM3:AM10" ca="1" si="4">SUM(AB3:AK3)</f>
        <v>2.3579467484715146E-2</v>
      </c>
    </row>
    <row r="4" spans="1:39" x14ac:dyDescent="0.25">
      <c r="A4" s="3" t="s">
        <v>2</v>
      </c>
      <c r="B4" s="3">
        <v>24</v>
      </c>
      <c r="C4" s="3">
        <v>1</v>
      </c>
      <c r="D4" s="3">
        <v>56019.319000000003</v>
      </c>
      <c r="E4" s="3">
        <v>1.2390000000000001</v>
      </c>
      <c r="F4" s="3">
        <v>188</v>
      </c>
      <c r="H4" s="3" t="s">
        <v>2</v>
      </c>
      <c r="I4" s="3">
        <v>100</v>
      </c>
      <c r="J4" s="3">
        <v>1</v>
      </c>
      <c r="L4" s="3">
        <f t="shared" ca="1" si="2"/>
        <v>1216824.9669999999</v>
      </c>
      <c r="M4" s="3">
        <f t="shared" ca="1" si="0"/>
        <v>1217126.9380000001</v>
      </c>
      <c r="N4" s="3">
        <f t="shared" ca="1" si="0"/>
        <v>1217088.632</v>
      </c>
      <c r="O4" s="3">
        <f t="shared" ca="1" si="0"/>
        <v>1217538.584</v>
      </c>
      <c r="P4" s="3">
        <f t="shared" ca="1" si="0"/>
        <v>1217098.878</v>
      </c>
      <c r="Q4" s="3">
        <f t="shared" ca="1" si="0"/>
        <v>1217168.3959999999</v>
      </c>
      <c r="R4" s="3">
        <f t="shared" ca="1" si="0"/>
        <v>1217058.01</v>
      </c>
      <c r="S4" s="3">
        <f t="shared" ca="1" si="0"/>
        <v>1217012.4140000001</v>
      </c>
      <c r="T4" s="3">
        <f t="shared" ca="1" si="0"/>
        <v>1216725.1629999999</v>
      </c>
      <c r="U4" s="3">
        <f t="shared" ca="1" si="0"/>
        <v>1216974.9269999999</v>
      </c>
      <c r="W4" s="3">
        <f t="shared" ca="1" si="3"/>
        <v>1217061.6909</v>
      </c>
      <c r="Y4" s="3">
        <f ca="1">Total!E4</f>
        <v>1216556.6340000001</v>
      </c>
      <c r="AB4" s="3">
        <f t="shared" ca="1" si="1"/>
        <v>2.2056761888478407E-4</v>
      </c>
      <c r="AC4" s="3">
        <f t="shared" ca="1" si="1"/>
        <v>4.6878540962360467E-4</v>
      </c>
      <c r="AD4" s="3">
        <f t="shared" ca="1" si="1"/>
        <v>4.3729817842570328E-4</v>
      </c>
      <c r="AE4" s="3">
        <f t="shared" ca="1" si="1"/>
        <v>8.0715518912698094E-4</v>
      </c>
      <c r="AF4" s="3">
        <f t="shared" ca="1" si="1"/>
        <v>4.4572030996786939E-4</v>
      </c>
      <c r="AG4" s="3">
        <f t="shared" ca="1" si="1"/>
        <v>5.0286356006988119E-4</v>
      </c>
      <c r="AH4" s="3">
        <f t="shared" ca="1" si="1"/>
        <v>4.1212713488842891E-4</v>
      </c>
      <c r="AI4" s="3">
        <f t="shared" ca="1" si="1"/>
        <v>3.7464758093623443E-4</v>
      </c>
      <c r="AJ4" s="3">
        <f t="shared" ca="1" si="1"/>
        <v>1.3852951460693281E-4</v>
      </c>
      <c r="AK4" s="3">
        <f t="shared" ca="1" si="1"/>
        <v>3.438335613069621E-4</v>
      </c>
      <c r="AM4" s="3">
        <f t="shared" ca="1" si="4"/>
        <v>4.1515280578373814E-3</v>
      </c>
    </row>
    <row r="5" spans="1:39" x14ac:dyDescent="0.25">
      <c r="A5" s="3" t="s">
        <v>2</v>
      </c>
      <c r="B5" s="3">
        <v>24</v>
      </c>
      <c r="C5" s="3">
        <v>1</v>
      </c>
      <c r="D5" s="3">
        <v>56022.135000000002</v>
      </c>
      <c r="E5" s="3">
        <v>1.244</v>
      </c>
      <c r="F5" s="3">
        <v>177</v>
      </c>
      <c r="H5" s="3" t="s">
        <v>1</v>
      </c>
      <c r="I5" s="3">
        <v>30</v>
      </c>
      <c r="J5" s="3">
        <v>1</v>
      </c>
      <c r="L5" s="3">
        <f t="shared" ca="1" si="2"/>
        <v>20048.084999999999</v>
      </c>
      <c r="M5" s="3">
        <f t="shared" ca="1" si="0"/>
        <v>19998.024000000001</v>
      </c>
      <c r="N5" s="3">
        <f t="shared" ca="1" si="0"/>
        <v>19990.115000000002</v>
      </c>
      <c r="O5" s="3">
        <f t="shared" ca="1" si="0"/>
        <v>19998.38</v>
      </c>
      <c r="P5" s="3">
        <f t="shared" ca="1" si="0"/>
        <v>20026.056</v>
      </c>
      <c r="Q5" s="3">
        <f t="shared" ca="1" si="0"/>
        <v>20010.481</v>
      </c>
      <c r="R5" s="3">
        <f t="shared" ca="1" si="0"/>
        <v>20007.877</v>
      </c>
      <c r="S5" s="3">
        <f t="shared" ca="1" si="0"/>
        <v>19993.986000000001</v>
      </c>
      <c r="T5" s="3">
        <f t="shared" ca="1" si="0"/>
        <v>20013.580999999998</v>
      </c>
      <c r="U5" s="3">
        <f t="shared" ca="1" si="0"/>
        <v>20001.286</v>
      </c>
      <c r="W5" s="3">
        <f t="shared" ca="1" si="3"/>
        <v>20008.787100000001</v>
      </c>
      <c r="Y5" s="3">
        <f ca="1">Total!E5</f>
        <v>19969.536</v>
      </c>
      <c r="AB5" s="3">
        <f t="shared" ca="1" si="1"/>
        <v>3.9334414179678021E-3</v>
      </c>
      <c r="AC5" s="3">
        <f t="shared" ca="1" si="1"/>
        <v>1.426572955926527E-3</v>
      </c>
      <c r="AD5" s="3">
        <f t="shared" ca="1" si="1"/>
        <v>1.0305196875882116E-3</v>
      </c>
      <c r="AE5" s="3">
        <f t="shared" ca="1" si="1"/>
        <v>1.4444001102479778E-3</v>
      </c>
      <c r="AF5" s="3">
        <f t="shared" ca="1" si="1"/>
        <v>2.8303111299131053E-3</v>
      </c>
      <c r="AG5" s="3">
        <f t="shared" ca="1" si="1"/>
        <v>2.0503731283490869E-3</v>
      </c>
      <c r="AH5" s="3">
        <f t="shared" ca="1" si="1"/>
        <v>1.9199745051662867E-3</v>
      </c>
      <c r="AI5" s="3">
        <f t="shared" ca="1" si="1"/>
        <v>1.224364952695983E-3</v>
      </c>
      <c r="AJ5" s="3">
        <f t="shared" ca="1" si="1"/>
        <v>2.205609584519052E-3</v>
      </c>
      <c r="AK5" s="3">
        <f t="shared" ca="1" si="1"/>
        <v>1.5899217688382945E-3</v>
      </c>
      <c r="AM5" s="3">
        <f t="shared" ca="1" si="4"/>
        <v>1.9655489241212326E-2</v>
      </c>
    </row>
    <row r="6" spans="1:39" x14ac:dyDescent="0.25">
      <c r="A6" s="3" t="s">
        <v>2</v>
      </c>
      <c r="B6" s="3">
        <v>24</v>
      </c>
      <c r="C6" s="3">
        <v>1</v>
      </c>
      <c r="D6" s="3">
        <v>56001.434999999998</v>
      </c>
      <c r="E6" s="3">
        <v>1.2350000000000001</v>
      </c>
      <c r="F6" s="3">
        <v>188</v>
      </c>
      <c r="H6" s="3" t="s">
        <v>1</v>
      </c>
      <c r="I6" s="3">
        <v>50</v>
      </c>
      <c r="J6" s="3">
        <v>1</v>
      </c>
      <c r="L6" s="3">
        <f t="shared" ca="1" si="2"/>
        <v>35294.455999999998</v>
      </c>
      <c r="M6" s="3">
        <f t="shared" ca="1" si="0"/>
        <v>35359.031999999999</v>
      </c>
      <c r="N6" s="3">
        <f t="shared" ca="1" si="0"/>
        <v>35364.055</v>
      </c>
      <c r="O6" s="3">
        <f t="shared" ca="1" si="0"/>
        <v>35444.370999999999</v>
      </c>
      <c r="P6" s="3">
        <f t="shared" ca="1" si="0"/>
        <v>35328.436999999998</v>
      </c>
      <c r="Q6" s="3">
        <f t="shared" ca="1" si="0"/>
        <v>35364.694000000003</v>
      </c>
      <c r="R6" s="3">
        <f t="shared" ca="1" si="0"/>
        <v>35298.983</v>
      </c>
      <c r="S6" s="3">
        <f t="shared" ca="1" si="0"/>
        <v>35307.249000000003</v>
      </c>
      <c r="T6" s="3">
        <f t="shared" ca="1" si="0"/>
        <v>35341.595999999998</v>
      </c>
      <c r="U6" s="3">
        <f t="shared" ca="1" si="0"/>
        <v>35379.906999999999</v>
      </c>
      <c r="W6" s="3">
        <f t="shared" ca="1" si="3"/>
        <v>35348.278000000006</v>
      </c>
      <c r="Y6" s="3">
        <f ca="1">Total!E6</f>
        <v>35277.981</v>
      </c>
      <c r="AB6" s="3">
        <f t="shared" ca="1" si="1"/>
        <v>4.6700518377167175E-4</v>
      </c>
      <c r="AC6" s="3">
        <f t="shared" ca="1" si="1"/>
        <v>2.2974954263964109E-3</v>
      </c>
      <c r="AD6" s="3">
        <f t="shared" ca="1" si="1"/>
        <v>2.4398788581466873E-3</v>
      </c>
      <c r="AE6" s="3">
        <f t="shared" ca="1" si="1"/>
        <v>4.7165397588937816E-3</v>
      </c>
      <c r="AF6" s="3">
        <f t="shared" ca="1" si="1"/>
        <v>1.4302405798109112E-3</v>
      </c>
      <c r="AG6" s="3">
        <f t="shared" ca="1" si="1"/>
        <v>2.4579921396296282E-3</v>
      </c>
      <c r="AH6" s="3">
        <f t="shared" ca="1" si="1"/>
        <v>5.9532885399536922E-4</v>
      </c>
      <c r="AI6" s="3">
        <f t="shared" ca="1" si="1"/>
        <v>8.296393152432297E-4</v>
      </c>
      <c r="AJ6" s="3">
        <f t="shared" ca="1" si="1"/>
        <v>1.8032494546668632E-3</v>
      </c>
      <c r="AK6" s="3">
        <f t="shared" ca="1" si="1"/>
        <v>2.8892243011299167E-3</v>
      </c>
      <c r="AM6" s="3">
        <f t="shared" ca="1" si="4"/>
        <v>1.9926593871684467E-2</v>
      </c>
    </row>
    <row r="7" spans="1:39" x14ac:dyDescent="0.25">
      <c r="A7" s="3" t="s">
        <v>2</v>
      </c>
      <c r="B7" s="3">
        <v>24</v>
      </c>
      <c r="C7" s="3">
        <v>1</v>
      </c>
      <c r="D7" s="3">
        <v>55968.821000000004</v>
      </c>
      <c r="E7" s="3">
        <v>1.2370000000000001</v>
      </c>
      <c r="F7" s="3">
        <v>181</v>
      </c>
      <c r="H7" s="3" t="s">
        <v>1</v>
      </c>
      <c r="I7" s="3">
        <v>100</v>
      </c>
      <c r="J7" s="3">
        <v>1</v>
      </c>
      <c r="L7" s="3">
        <f t="shared" ca="1" si="2"/>
        <v>63042.360999999997</v>
      </c>
      <c r="M7" s="3">
        <f t="shared" ca="1" si="0"/>
        <v>63066.870999999999</v>
      </c>
      <c r="N7" s="3">
        <f t="shared" ca="1" si="0"/>
        <v>63146.942999999999</v>
      </c>
      <c r="O7" s="3">
        <f t="shared" ca="1" si="0"/>
        <v>63035.512000000002</v>
      </c>
      <c r="P7" s="3">
        <f t="shared" ca="1" si="0"/>
        <v>63131.07</v>
      </c>
      <c r="Q7" s="3">
        <f t="shared" ca="1" si="0"/>
        <v>63106.39</v>
      </c>
      <c r="R7" s="3">
        <f t="shared" ca="1" si="0"/>
        <v>63088.137999999999</v>
      </c>
      <c r="S7" s="3">
        <f t="shared" ca="1" si="0"/>
        <v>63071.612000000001</v>
      </c>
      <c r="T7" s="3">
        <f t="shared" ca="1" si="0"/>
        <v>63097.2</v>
      </c>
      <c r="U7" s="3">
        <f t="shared" ca="1" si="0"/>
        <v>63092.353999999999</v>
      </c>
      <c r="W7" s="3">
        <f t="shared" ca="1" si="3"/>
        <v>63087.845099999999</v>
      </c>
      <c r="Y7" s="3">
        <f ca="1">Total!E7</f>
        <v>63035.512000000002</v>
      </c>
      <c r="AB7" s="3">
        <f t="shared" ca="1" si="1"/>
        <v>1.0865303989273067E-4</v>
      </c>
      <c r="AC7" s="3">
        <f t="shared" ca="1" si="1"/>
        <v>4.9748148313599392E-4</v>
      </c>
      <c r="AD7" s="3">
        <f t="shared" ca="1" si="1"/>
        <v>1.7677495821719804E-3</v>
      </c>
      <c r="AE7" s="3">
        <f t="shared" ca="1" si="1"/>
        <v>0</v>
      </c>
      <c r="AF7" s="3">
        <f t="shared" ca="1" si="1"/>
        <v>1.5159391423678332E-3</v>
      </c>
      <c r="AG7" s="3">
        <f t="shared" ca="1" si="1"/>
        <v>1.1244138066174028E-3</v>
      </c>
      <c r="AH7" s="3">
        <f t="shared" ca="1" si="1"/>
        <v>8.3486273578608453E-4</v>
      </c>
      <c r="AI7" s="3">
        <f t="shared" ca="1" si="1"/>
        <v>5.7269305593961924E-4</v>
      </c>
      <c r="AJ7" s="3">
        <f t="shared" ca="1" si="1"/>
        <v>9.7862297049311898E-4</v>
      </c>
      <c r="AK7" s="3">
        <f t="shared" ca="1" si="1"/>
        <v>9.0174566996452593E-4</v>
      </c>
      <c r="AM7" s="3">
        <f t="shared" ca="1" si="4"/>
        <v>8.3021614863692892E-3</v>
      </c>
    </row>
    <row r="8" spans="1:39" x14ac:dyDescent="0.25">
      <c r="A8" s="3" t="s">
        <v>2</v>
      </c>
      <c r="B8" s="3">
        <v>24</v>
      </c>
      <c r="C8" s="3">
        <v>1</v>
      </c>
      <c r="D8" s="3">
        <v>56072.781999999999</v>
      </c>
      <c r="E8" s="3">
        <v>1.2629999999999999</v>
      </c>
      <c r="F8" s="3">
        <v>182</v>
      </c>
      <c r="H8" s="3" t="s">
        <v>0</v>
      </c>
      <c r="I8" s="3">
        <v>25</v>
      </c>
      <c r="J8" s="3">
        <v>1</v>
      </c>
      <c r="L8" s="3">
        <f t="shared" ca="1" si="2"/>
        <v>723.74699999999996</v>
      </c>
      <c r="M8" s="3">
        <f t="shared" ca="1" si="0"/>
        <v>723.64200000000005</v>
      </c>
      <c r="N8" s="3">
        <f t="shared" ca="1" si="0"/>
        <v>723.45699999999999</v>
      </c>
      <c r="O8" s="3">
        <f t="shared" ca="1" si="0"/>
        <v>722.96500000000003</v>
      </c>
      <c r="P8" s="3">
        <f t="shared" ca="1" si="0"/>
        <v>724.04700000000003</v>
      </c>
      <c r="Q8" s="3">
        <f t="shared" ca="1" si="0"/>
        <v>724.36199999999997</v>
      </c>
      <c r="R8" s="3">
        <f t="shared" ca="1" si="0"/>
        <v>723.524</v>
      </c>
      <c r="S8" s="3">
        <f t="shared" ca="1" si="0"/>
        <v>723.74300000000005</v>
      </c>
      <c r="T8" s="3">
        <f t="shared" ca="1" si="0"/>
        <v>723.90800000000002</v>
      </c>
      <c r="U8" s="3">
        <f t="shared" ca="1" si="0"/>
        <v>722.98400000000004</v>
      </c>
      <c r="W8" s="3">
        <f t="shared" ca="1" si="3"/>
        <v>723.63790000000017</v>
      </c>
      <c r="Y8" s="3">
        <f ca="1">Total!E8</f>
        <v>722.92</v>
      </c>
      <c r="AB8" s="3">
        <f t="shared" ca="1" si="1"/>
        <v>1.1439716704476266E-3</v>
      </c>
      <c r="AC8" s="3">
        <f t="shared" ca="1" si="1"/>
        <v>9.9872738338971628E-4</v>
      </c>
      <c r="AD8" s="3">
        <f t="shared" ca="1" si="1"/>
        <v>7.4282078238260742E-4</v>
      </c>
      <c r="AE8" s="3">
        <f t="shared" ca="1" si="1"/>
        <v>6.2247551596404527E-5</v>
      </c>
      <c r="AF8" s="3">
        <f t="shared" ca="1" si="1"/>
        <v>1.5589553477564136E-3</v>
      </c>
      <c r="AG8" s="3">
        <f t="shared" ca="1" si="1"/>
        <v>1.994688208930459E-3</v>
      </c>
      <c r="AH8" s="3">
        <f t="shared" ca="1" si="1"/>
        <v>8.3550047031489215E-4</v>
      </c>
      <c r="AI8" s="3">
        <f t="shared" ca="1" si="1"/>
        <v>1.1384385547503083E-3</v>
      </c>
      <c r="AJ8" s="3">
        <f t="shared" ca="1" si="1"/>
        <v>1.3666795772700388E-3</v>
      </c>
      <c r="AK8" s="3">
        <f t="shared" ca="1" si="1"/>
        <v>8.8529851159295937E-5</v>
      </c>
      <c r="AM8" s="3">
        <f t="shared" ca="1" si="4"/>
        <v>9.9305593979977635E-3</v>
      </c>
    </row>
    <row r="9" spans="1:39" x14ac:dyDescent="0.25">
      <c r="A9" s="3" t="s">
        <v>2</v>
      </c>
      <c r="B9" s="3">
        <v>24</v>
      </c>
      <c r="C9" s="3">
        <v>1</v>
      </c>
      <c r="D9" s="3">
        <v>56022.93</v>
      </c>
      <c r="E9" s="3">
        <v>1.2370000000000001</v>
      </c>
      <c r="F9" s="3">
        <v>186</v>
      </c>
      <c r="H9" s="3" t="s">
        <v>0</v>
      </c>
      <c r="I9" s="3">
        <v>50</v>
      </c>
      <c r="J9" s="3">
        <v>1</v>
      </c>
      <c r="L9" s="3">
        <f t="shared" ca="1" si="2"/>
        <v>1572.44</v>
      </c>
      <c r="M9" s="3">
        <f t="shared" ca="1" si="0"/>
        <v>1571.34</v>
      </c>
      <c r="N9" s="3">
        <f t="shared" ca="1" si="0"/>
        <v>1571.058</v>
      </c>
      <c r="O9" s="3">
        <f t="shared" ca="1" si="0"/>
        <v>1572.6089999999999</v>
      </c>
      <c r="P9" s="3">
        <f t="shared" ca="1" si="0"/>
        <v>1571.952</v>
      </c>
      <c r="Q9" s="3">
        <f t="shared" ca="1" si="0"/>
        <v>1570.913</v>
      </c>
      <c r="R9" s="3">
        <f t="shared" ca="1" si="0"/>
        <v>1571.742</v>
      </c>
      <c r="S9" s="3">
        <f t="shared" ca="1" si="0"/>
        <v>1571.252</v>
      </c>
      <c r="T9" s="3">
        <f t="shared" ca="1" si="0"/>
        <v>1572.3810000000001</v>
      </c>
      <c r="U9" s="3">
        <f t="shared" ca="1" si="0"/>
        <v>1571.04</v>
      </c>
      <c r="W9" s="3">
        <f t="shared" ca="1" si="3"/>
        <v>1571.6726999999998</v>
      </c>
      <c r="Y9" s="3">
        <f ca="1">Total!E9</f>
        <v>1570.17</v>
      </c>
      <c r="AB9" s="3">
        <f t="shared" ca="1" si="1"/>
        <v>1.4457033314863878E-3</v>
      </c>
      <c r="AC9" s="3">
        <f t="shared" ca="1" si="1"/>
        <v>7.4514224574399293E-4</v>
      </c>
      <c r="AD9" s="3">
        <f t="shared" ca="1" si="1"/>
        <v>5.6554385830828507E-4</v>
      </c>
      <c r="AE9" s="3">
        <f t="shared" ca="1" si="1"/>
        <v>1.5533349892048955E-3</v>
      </c>
      <c r="AF9" s="3">
        <f t="shared" ca="1" si="1"/>
        <v>1.1349089589024917E-3</v>
      </c>
      <c r="AG9" s="3">
        <f t="shared" ca="1" si="1"/>
        <v>4.731971697331742E-4</v>
      </c>
      <c r="AH9" s="3">
        <f t="shared" ca="1" si="1"/>
        <v>1.0011654788971188E-3</v>
      </c>
      <c r="AI9" s="3">
        <f t="shared" ca="1" si="1"/>
        <v>6.890973588846303E-4</v>
      </c>
      <c r="AJ9" s="3">
        <f t="shared" ca="1" si="1"/>
        <v>1.4081277823420474E-3</v>
      </c>
      <c r="AK9" s="3">
        <f t="shared" ca="1" si="1"/>
        <v>5.5408013145066511E-4</v>
      </c>
      <c r="AM9" s="3">
        <f t="shared" ca="1" si="4"/>
        <v>9.5703013049536888E-3</v>
      </c>
    </row>
    <row r="10" spans="1:39" x14ac:dyDescent="0.25">
      <c r="A10" s="3" t="s">
        <v>2</v>
      </c>
      <c r="B10" s="3">
        <v>24</v>
      </c>
      <c r="C10" s="3">
        <v>1</v>
      </c>
      <c r="D10" s="3">
        <v>56024.474000000002</v>
      </c>
      <c r="E10" s="3">
        <v>1.2370000000000001</v>
      </c>
      <c r="F10" s="3">
        <v>178</v>
      </c>
      <c r="H10" s="3" t="s">
        <v>28</v>
      </c>
      <c r="I10" s="3">
        <v>100</v>
      </c>
      <c r="J10" s="3">
        <v>1</v>
      </c>
      <c r="L10" s="3">
        <f t="shared" ca="1" si="2"/>
        <v>3292.1010000000001</v>
      </c>
      <c r="M10" s="3">
        <f t="shared" ca="1" si="0"/>
        <v>3338.2310000000002</v>
      </c>
      <c r="N10" s="3">
        <f t="shared" ca="1" si="0"/>
        <v>3329.9430000000002</v>
      </c>
      <c r="O10" s="3">
        <f t="shared" ca="1" si="0"/>
        <v>3291.7429999999999</v>
      </c>
      <c r="P10" s="3">
        <f t="shared" ca="1" si="0"/>
        <v>3294.8939999999998</v>
      </c>
      <c r="Q10" s="3">
        <f t="shared" ca="1" si="0"/>
        <v>3322.09</v>
      </c>
      <c r="R10" s="3">
        <f t="shared" ca="1" si="0"/>
        <v>3330.183</v>
      </c>
      <c r="S10" s="3">
        <f t="shared" ca="1" si="0"/>
        <v>3333.59</v>
      </c>
      <c r="T10" s="3">
        <f t="shared" ca="1" si="0"/>
        <v>3292.087</v>
      </c>
      <c r="U10" s="3">
        <f t="shared" ca="1" si="0"/>
        <v>3330.36</v>
      </c>
      <c r="W10" s="3">
        <f t="shared" ca="1" si="3"/>
        <v>3315.5222000000003</v>
      </c>
      <c r="Y10" s="3">
        <f ca="1">Total!E10</f>
        <v>3290.5340000000001</v>
      </c>
      <c r="AB10" s="3">
        <f t="shared" ca="1" si="1"/>
        <v>4.7621449892327729E-4</v>
      </c>
      <c r="AC10" s="3">
        <f t="shared" ca="1" si="1"/>
        <v>1.4495215670161777E-2</v>
      </c>
      <c r="AD10" s="3">
        <f t="shared" ca="1" si="1"/>
        <v>1.1976475550776897E-2</v>
      </c>
      <c r="AE10" s="3">
        <f t="shared" ca="1" si="1"/>
        <v>3.6741756809072104E-4</v>
      </c>
      <c r="AF10" s="3">
        <f t="shared" ca="1" si="1"/>
        <v>1.3250129006415591E-3</v>
      </c>
      <c r="AG10" s="3">
        <f t="shared" ca="1" si="1"/>
        <v>9.5899328194147329E-3</v>
      </c>
      <c r="AH10" s="3">
        <f t="shared" ca="1" si="1"/>
        <v>1.2049412040720407E-2</v>
      </c>
      <c r="AI10" s="3">
        <f t="shared" ca="1" si="1"/>
        <v>1.3084806295877823E-2</v>
      </c>
      <c r="AJ10" s="3">
        <f t="shared" ca="1" si="1"/>
        <v>4.7195987034319767E-4</v>
      </c>
      <c r="AK10" s="3">
        <f t="shared" ca="1" si="1"/>
        <v>1.2103202702053837E-2</v>
      </c>
      <c r="AM10" s="3">
        <f t="shared" ca="1" si="4"/>
        <v>7.5939649917004234E-2</v>
      </c>
    </row>
    <row r="11" spans="1:39" x14ac:dyDescent="0.25">
      <c r="A11" s="3" t="s">
        <v>2</v>
      </c>
      <c r="B11" s="3">
        <v>47</v>
      </c>
      <c r="C11" s="3">
        <v>1</v>
      </c>
      <c r="D11" s="3">
        <v>126256.251</v>
      </c>
      <c r="E11" s="3">
        <v>4.149</v>
      </c>
      <c r="F11" s="3">
        <v>178</v>
      </c>
    </row>
    <row r="12" spans="1:39" x14ac:dyDescent="0.25">
      <c r="A12" s="3" t="s">
        <v>2</v>
      </c>
      <c r="B12" s="3">
        <v>47</v>
      </c>
      <c r="C12" s="3">
        <v>1</v>
      </c>
      <c r="D12" s="3">
        <v>126536.74400000001</v>
      </c>
      <c r="E12" s="3">
        <v>4.1470000000000002</v>
      </c>
      <c r="F12" s="3">
        <v>177</v>
      </c>
    </row>
    <row r="13" spans="1:39" x14ac:dyDescent="0.25">
      <c r="A13" s="3" t="s">
        <v>2</v>
      </c>
      <c r="B13" s="3">
        <v>47</v>
      </c>
      <c r="C13" s="3">
        <v>1</v>
      </c>
      <c r="D13" s="3">
        <v>126244.88400000001</v>
      </c>
      <c r="E13" s="3">
        <v>4.1479999999999997</v>
      </c>
      <c r="F13" s="3">
        <v>182</v>
      </c>
    </row>
    <row r="14" spans="1:39" x14ac:dyDescent="0.25">
      <c r="A14" s="3" t="s">
        <v>2</v>
      </c>
      <c r="B14" s="3">
        <v>47</v>
      </c>
      <c r="C14" s="3">
        <v>1</v>
      </c>
      <c r="D14" s="3">
        <v>126347.19899999999</v>
      </c>
      <c r="E14" s="3">
        <v>4.165</v>
      </c>
      <c r="F14" s="3">
        <v>185</v>
      </c>
    </row>
    <row r="15" spans="1:39" x14ac:dyDescent="0.25">
      <c r="A15" s="3" t="s">
        <v>2</v>
      </c>
      <c r="B15" s="3">
        <v>47</v>
      </c>
      <c r="C15" s="3">
        <v>1</v>
      </c>
      <c r="D15" s="3">
        <v>126234.139</v>
      </c>
      <c r="E15" s="3">
        <v>4.1420000000000003</v>
      </c>
      <c r="F15" s="3">
        <v>183</v>
      </c>
    </row>
    <row r="16" spans="1:39" x14ac:dyDescent="0.25">
      <c r="A16" s="3" t="s">
        <v>2</v>
      </c>
      <c r="B16" s="3">
        <v>47</v>
      </c>
      <c r="C16" s="3">
        <v>1</v>
      </c>
      <c r="D16" s="3">
        <v>126470.90300000001</v>
      </c>
      <c r="E16" s="3">
        <v>4.157</v>
      </c>
      <c r="F16" s="3">
        <v>169</v>
      </c>
    </row>
    <row r="17" spans="1:6" x14ac:dyDescent="0.25">
      <c r="A17" s="3" t="s">
        <v>2</v>
      </c>
      <c r="B17" s="3">
        <v>47</v>
      </c>
      <c r="C17" s="3">
        <v>1</v>
      </c>
      <c r="D17" s="3">
        <v>126353.232</v>
      </c>
      <c r="E17" s="3">
        <v>4.1479999999999997</v>
      </c>
      <c r="F17" s="3">
        <v>181</v>
      </c>
    </row>
    <row r="18" spans="1:6" x14ac:dyDescent="0.25">
      <c r="A18" s="3" t="s">
        <v>2</v>
      </c>
      <c r="B18" s="3">
        <v>47</v>
      </c>
      <c r="C18" s="3">
        <v>1</v>
      </c>
      <c r="D18" s="3">
        <v>126282.83</v>
      </c>
      <c r="E18" s="3">
        <v>4.1550000000000002</v>
      </c>
      <c r="F18" s="3">
        <v>179</v>
      </c>
    </row>
    <row r="19" spans="1:6" x14ac:dyDescent="0.25">
      <c r="A19" s="3" t="s">
        <v>2</v>
      </c>
      <c r="B19" s="3">
        <v>47</v>
      </c>
      <c r="C19" s="3">
        <v>1</v>
      </c>
      <c r="D19" s="3">
        <v>126239.448</v>
      </c>
      <c r="E19" s="3">
        <v>4.1459999999999999</v>
      </c>
      <c r="F19" s="3">
        <v>181</v>
      </c>
    </row>
    <row r="20" spans="1:6" x14ac:dyDescent="0.25">
      <c r="A20" s="3" t="s">
        <v>2</v>
      </c>
      <c r="B20" s="3">
        <v>47</v>
      </c>
      <c r="C20" s="3">
        <v>1</v>
      </c>
      <c r="D20" s="3">
        <v>126217.973</v>
      </c>
      <c r="E20" s="3">
        <v>4.157</v>
      </c>
      <c r="F20" s="3">
        <v>180</v>
      </c>
    </row>
    <row r="21" spans="1:6" x14ac:dyDescent="0.25">
      <c r="A21" s="3" t="s">
        <v>2</v>
      </c>
      <c r="B21" s="3">
        <v>100</v>
      </c>
      <c r="C21" s="3">
        <v>1</v>
      </c>
      <c r="D21" s="3">
        <v>1216824.9669999999</v>
      </c>
      <c r="E21" s="3">
        <v>22.073</v>
      </c>
      <c r="F21" s="3">
        <v>208</v>
      </c>
    </row>
    <row r="22" spans="1:6" x14ac:dyDescent="0.25">
      <c r="A22" s="3" t="s">
        <v>2</v>
      </c>
      <c r="B22" s="3">
        <v>100</v>
      </c>
      <c r="C22" s="3">
        <v>1</v>
      </c>
      <c r="D22" s="3">
        <v>1217126.9380000001</v>
      </c>
      <c r="E22" s="3">
        <v>22.125</v>
      </c>
      <c r="F22" s="3">
        <v>204</v>
      </c>
    </row>
    <row r="23" spans="1:6" x14ac:dyDescent="0.25">
      <c r="A23" s="3" t="s">
        <v>2</v>
      </c>
      <c r="B23" s="3">
        <v>100</v>
      </c>
      <c r="C23" s="3">
        <v>1</v>
      </c>
      <c r="D23" s="3">
        <v>1217088.632</v>
      </c>
      <c r="E23" s="3">
        <v>22.134</v>
      </c>
      <c r="F23" s="3">
        <v>202</v>
      </c>
    </row>
    <row r="24" spans="1:6" x14ac:dyDescent="0.25">
      <c r="A24" s="3" t="s">
        <v>2</v>
      </c>
      <c r="B24" s="3">
        <v>100</v>
      </c>
      <c r="C24" s="3">
        <v>1</v>
      </c>
      <c r="D24" s="3">
        <v>1217538.584</v>
      </c>
      <c r="E24" s="3">
        <v>22.074000000000002</v>
      </c>
      <c r="F24" s="3">
        <v>207</v>
      </c>
    </row>
    <row r="25" spans="1:6" x14ac:dyDescent="0.25">
      <c r="A25" s="3" t="s">
        <v>2</v>
      </c>
      <c r="B25" s="3">
        <v>100</v>
      </c>
      <c r="C25" s="3">
        <v>1</v>
      </c>
      <c r="D25" s="3">
        <v>1217098.878</v>
      </c>
      <c r="E25" s="3">
        <v>22.117999999999999</v>
      </c>
      <c r="F25" s="3">
        <v>206</v>
      </c>
    </row>
    <row r="26" spans="1:6" x14ac:dyDescent="0.25">
      <c r="A26" s="3" t="s">
        <v>2</v>
      </c>
      <c r="B26" s="3">
        <v>100</v>
      </c>
      <c r="C26" s="3">
        <v>1</v>
      </c>
      <c r="D26" s="3">
        <v>1217168.3959999999</v>
      </c>
      <c r="E26" s="3">
        <v>22.135000000000002</v>
      </c>
      <c r="F26" s="3">
        <v>206</v>
      </c>
    </row>
    <row r="27" spans="1:6" x14ac:dyDescent="0.25">
      <c r="A27" s="3" t="s">
        <v>2</v>
      </c>
      <c r="B27" s="3">
        <v>100</v>
      </c>
      <c r="C27" s="3">
        <v>1</v>
      </c>
      <c r="D27" s="3">
        <v>1217058.01</v>
      </c>
      <c r="E27" s="3">
        <v>22.123000000000001</v>
      </c>
      <c r="F27" s="3">
        <v>205</v>
      </c>
    </row>
    <row r="28" spans="1:6" x14ac:dyDescent="0.25">
      <c r="A28" s="3" t="s">
        <v>2</v>
      </c>
      <c r="B28" s="3">
        <v>100</v>
      </c>
      <c r="C28" s="3">
        <v>1</v>
      </c>
      <c r="D28" s="3">
        <v>1217012.4140000001</v>
      </c>
      <c r="E28" s="3">
        <v>22.087</v>
      </c>
      <c r="F28" s="3">
        <v>211</v>
      </c>
    </row>
    <row r="29" spans="1:6" x14ac:dyDescent="0.25">
      <c r="A29" s="3" t="s">
        <v>2</v>
      </c>
      <c r="B29" s="3">
        <v>100</v>
      </c>
      <c r="C29" s="3">
        <v>1</v>
      </c>
      <c r="D29" s="3">
        <v>1216725.1629999999</v>
      </c>
      <c r="E29" s="3">
        <v>22.067</v>
      </c>
      <c r="F29" s="3">
        <v>199</v>
      </c>
    </row>
    <row r="30" spans="1:6" x14ac:dyDescent="0.25">
      <c r="A30" s="3" t="s">
        <v>2</v>
      </c>
      <c r="B30" s="3">
        <v>100</v>
      </c>
      <c r="C30" s="3">
        <v>1</v>
      </c>
      <c r="D30" s="3">
        <v>1216974.9269999999</v>
      </c>
      <c r="E30" s="3">
        <v>22.131</v>
      </c>
      <c r="F30" s="3">
        <v>197</v>
      </c>
    </row>
    <row r="31" spans="1:6" x14ac:dyDescent="0.25">
      <c r="A31" s="3" t="s">
        <v>1</v>
      </c>
      <c r="B31" s="3">
        <v>30</v>
      </c>
      <c r="C31" s="3">
        <v>1</v>
      </c>
      <c r="D31" s="3">
        <v>20048.084999999999</v>
      </c>
      <c r="E31" s="3">
        <v>1.349</v>
      </c>
      <c r="F31" s="3">
        <v>114</v>
      </c>
    </row>
    <row r="32" spans="1:6" x14ac:dyDescent="0.25">
      <c r="A32" s="3" t="s">
        <v>1</v>
      </c>
      <c r="B32" s="3">
        <v>30</v>
      </c>
      <c r="C32" s="3">
        <v>1</v>
      </c>
      <c r="D32" s="3">
        <v>19998.024000000001</v>
      </c>
      <c r="E32" s="3">
        <v>1.349</v>
      </c>
      <c r="F32" s="3">
        <v>125</v>
      </c>
    </row>
    <row r="33" spans="1:6" x14ac:dyDescent="0.25">
      <c r="A33" s="3" t="s">
        <v>1</v>
      </c>
      <c r="B33" s="3">
        <v>30</v>
      </c>
      <c r="C33" s="3">
        <v>1</v>
      </c>
      <c r="D33" s="3">
        <v>19990.115000000002</v>
      </c>
      <c r="E33" s="3">
        <v>1.377</v>
      </c>
      <c r="F33" s="3">
        <v>132</v>
      </c>
    </row>
    <row r="34" spans="1:6" x14ac:dyDescent="0.25">
      <c r="A34" s="3" t="s">
        <v>1</v>
      </c>
      <c r="B34" s="3">
        <v>30</v>
      </c>
      <c r="C34" s="3">
        <v>1</v>
      </c>
      <c r="D34" s="3">
        <v>19998.38</v>
      </c>
      <c r="E34" s="3">
        <v>1.3460000000000001</v>
      </c>
      <c r="F34" s="3">
        <v>131</v>
      </c>
    </row>
    <row r="35" spans="1:6" x14ac:dyDescent="0.25">
      <c r="A35" s="3" t="s">
        <v>1</v>
      </c>
      <c r="B35" s="3">
        <v>30</v>
      </c>
      <c r="C35" s="3">
        <v>1</v>
      </c>
      <c r="D35" s="3">
        <v>20026.056</v>
      </c>
      <c r="E35" s="3">
        <v>1.3540000000000001</v>
      </c>
      <c r="F35" s="3">
        <v>126</v>
      </c>
    </row>
    <row r="36" spans="1:6" x14ac:dyDescent="0.25">
      <c r="A36" s="3" t="s">
        <v>1</v>
      </c>
      <c r="B36" s="3">
        <v>30</v>
      </c>
      <c r="C36" s="3">
        <v>1</v>
      </c>
      <c r="D36" s="3">
        <v>20010.481</v>
      </c>
      <c r="E36" s="3">
        <v>1.35</v>
      </c>
      <c r="F36" s="3">
        <v>125</v>
      </c>
    </row>
    <row r="37" spans="1:6" x14ac:dyDescent="0.25">
      <c r="A37" s="3" t="s">
        <v>1</v>
      </c>
      <c r="B37" s="3">
        <v>30</v>
      </c>
      <c r="C37" s="3">
        <v>1</v>
      </c>
      <c r="D37" s="3">
        <v>20007.877</v>
      </c>
      <c r="E37" s="3">
        <v>1.349</v>
      </c>
      <c r="F37" s="3">
        <v>124</v>
      </c>
    </row>
    <row r="38" spans="1:6" x14ac:dyDescent="0.25">
      <c r="A38" s="3" t="s">
        <v>1</v>
      </c>
      <c r="B38" s="3">
        <v>30</v>
      </c>
      <c r="C38" s="3">
        <v>1</v>
      </c>
      <c r="D38" s="3">
        <v>19993.986000000001</v>
      </c>
      <c r="E38" s="3">
        <v>1.349</v>
      </c>
      <c r="F38" s="3">
        <v>125</v>
      </c>
    </row>
    <row r="39" spans="1:6" x14ac:dyDescent="0.25">
      <c r="A39" s="3" t="s">
        <v>1</v>
      </c>
      <c r="B39" s="3">
        <v>30</v>
      </c>
      <c r="C39" s="3">
        <v>1</v>
      </c>
      <c r="D39" s="3">
        <v>20013.580999999998</v>
      </c>
      <c r="E39" s="3">
        <v>1.3620000000000001</v>
      </c>
      <c r="F39" s="3">
        <v>123</v>
      </c>
    </row>
    <row r="40" spans="1:6" x14ac:dyDescent="0.25">
      <c r="A40" s="3" t="s">
        <v>1</v>
      </c>
      <c r="B40" s="3">
        <v>30</v>
      </c>
      <c r="C40" s="3">
        <v>1</v>
      </c>
      <c r="D40" s="3">
        <v>20001.286</v>
      </c>
      <c r="E40" s="3">
        <v>1.3480000000000001</v>
      </c>
      <c r="F40" s="3">
        <v>135</v>
      </c>
    </row>
    <row r="41" spans="1:6" x14ac:dyDescent="0.25">
      <c r="A41" s="3" t="s">
        <v>1</v>
      </c>
      <c r="B41" s="3">
        <v>50</v>
      </c>
      <c r="C41" s="3">
        <v>1</v>
      </c>
      <c r="D41" s="3">
        <v>35294.455999999998</v>
      </c>
      <c r="E41" s="3">
        <v>3.05</v>
      </c>
      <c r="F41" s="3">
        <v>118</v>
      </c>
    </row>
    <row r="42" spans="1:6" x14ac:dyDescent="0.25">
      <c r="A42" s="3" t="s">
        <v>1</v>
      </c>
      <c r="B42" s="3">
        <v>50</v>
      </c>
      <c r="C42" s="3">
        <v>1</v>
      </c>
      <c r="D42" s="3">
        <v>35359.031999999999</v>
      </c>
      <c r="E42" s="3">
        <v>3.0390000000000001</v>
      </c>
      <c r="F42" s="3">
        <v>110</v>
      </c>
    </row>
    <row r="43" spans="1:6" x14ac:dyDescent="0.25">
      <c r="A43" s="3" t="s">
        <v>1</v>
      </c>
      <c r="B43" s="3">
        <v>50</v>
      </c>
      <c r="C43" s="3">
        <v>1</v>
      </c>
      <c r="D43" s="3">
        <v>35364.055</v>
      </c>
      <c r="E43" s="3">
        <v>3.048</v>
      </c>
      <c r="F43" s="3">
        <v>112</v>
      </c>
    </row>
    <row r="44" spans="1:6" x14ac:dyDescent="0.25">
      <c r="A44" s="3" t="s">
        <v>1</v>
      </c>
      <c r="B44" s="3">
        <v>50</v>
      </c>
      <c r="C44" s="3">
        <v>1</v>
      </c>
      <c r="D44" s="3">
        <v>35444.370999999999</v>
      </c>
      <c r="E44" s="3">
        <v>3.048</v>
      </c>
      <c r="F44" s="3">
        <v>113</v>
      </c>
    </row>
    <row r="45" spans="1:6" x14ac:dyDescent="0.25">
      <c r="A45" s="3" t="s">
        <v>1</v>
      </c>
      <c r="B45" s="3">
        <v>50</v>
      </c>
      <c r="C45" s="3">
        <v>1</v>
      </c>
      <c r="D45" s="3">
        <v>35328.436999999998</v>
      </c>
      <c r="E45" s="3">
        <v>3.0409999999999999</v>
      </c>
      <c r="F45" s="3">
        <v>113</v>
      </c>
    </row>
    <row r="46" spans="1:6" x14ac:dyDescent="0.25">
      <c r="A46" s="3" t="s">
        <v>1</v>
      </c>
      <c r="B46" s="3">
        <v>50</v>
      </c>
      <c r="C46" s="3">
        <v>1</v>
      </c>
      <c r="D46" s="3">
        <v>35364.694000000003</v>
      </c>
      <c r="E46" s="3">
        <v>3.052</v>
      </c>
      <c r="F46" s="3">
        <v>116</v>
      </c>
    </row>
    <row r="47" spans="1:6" x14ac:dyDescent="0.25">
      <c r="A47" s="3" t="s">
        <v>1</v>
      </c>
      <c r="B47" s="3">
        <v>50</v>
      </c>
      <c r="C47" s="3">
        <v>1</v>
      </c>
      <c r="D47" s="3">
        <v>35298.983</v>
      </c>
      <c r="E47" s="3">
        <v>3.0510000000000002</v>
      </c>
      <c r="F47" s="3">
        <v>112</v>
      </c>
    </row>
    <row r="48" spans="1:6" x14ac:dyDescent="0.25">
      <c r="A48" s="3" t="s">
        <v>1</v>
      </c>
      <c r="B48" s="3">
        <v>50</v>
      </c>
      <c r="C48" s="3">
        <v>1</v>
      </c>
      <c r="D48" s="3">
        <v>35307.249000000003</v>
      </c>
      <c r="E48" s="3">
        <v>3.048</v>
      </c>
      <c r="F48" s="3">
        <v>111</v>
      </c>
    </row>
    <row r="49" spans="1:6" x14ac:dyDescent="0.25">
      <c r="A49" s="3" t="s">
        <v>1</v>
      </c>
      <c r="B49" s="3">
        <v>50</v>
      </c>
      <c r="C49" s="3">
        <v>1</v>
      </c>
      <c r="D49" s="3">
        <v>35341.595999999998</v>
      </c>
      <c r="E49" s="3">
        <v>3.0350000000000001</v>
      </c>
      <c r="F49" s="3">
        <v>107</v>
      </c>
    </row>
    <row r="50" spans="1:6" x14ac:dyDescent="0.25">
      <c r="A50" s="3" t="s">
        <v>1</v>
      </c>
      <c r="B50" s="3">
        <v>50</v>
      </c>
      <c r="C50" s="3">
        <v>1</v>
      </c>
      <c r="D50" s="3">
        <v>35379.906999999999</v>
      </c>
      <c r="E50" s="3">
        <v>3.032</v>
      </c>
      <c r="F50" s="3">
        <v>118</v>
      </c>
    </row>
    <row r="51" spans="1:6" x14ac:dyDescent="0.25">
      <c r="A51" s="3" t="s">
        <v>1</v>
      </c>
      <c r="B51" s="3">
        <v>100</v>
      </c>
      <c r="C51" s="3">
        <v>1</v>
      </c>
      <c r="D51" s="3">
        <v>63042.360999999997</v>
      </c>
      <c r="E51" s="3">
        <v>11.728999999999999</v>
      </c>
      <c r="F51" s="3">
        <v>115</v>
      </c>
    </row>
    <row r="52" spans="1:6" x14ac:dyDescent="0.25">
      <c r="A52" s="3" t="s">
        <v>1</v>
      </c>
      <c r="B52" s="3">
        <v>100</v>
      </c>
      <c r="C52" s="3">
        <v>1</v>
      </c>
      <c r="D52" s="3">
        <v>63066.870999999999</v>
      </c>
      <c r="E52" s="3">
        <v>11.731999999999999</v>
      </c>
      <c r="F52" s="3">
        <v>118</v>
      </c>
    </row>
    <row r="53" spans="1:6" x14ac:dyDescent="0.25">
      <c r="A53" s="3" t="s">
        <v>1</v>
      </c>
      <c r="B53" s="3">
        <v>100</v>
      </c>
      <c r="C53" s="3">
        <v>1</v>
      </c>
      <c r="D53" s="3">
        <v>63146.942999999999</v>
      </c>
      <c r="E53" s="3">
        <v>11.752000000000001</v>
      </c>
      <c r="F53" s="3">
        <v>118</v>
      </c>
    </row>
    <row r="54" spans="1:6" x14ac:dyDescent="0.25">
      <c r="A54" s="3" t="s">
        <v>1</v>
      </c>
      <c r="B54" s="3">
        <v>100</v>
      </c>
      <c r="C54" s="3">
        <v>1</v>
      </c>
      <c r="D54" s="3">
        <v>63035.512000000002</v>
      </c>
      <c r="E54" s="3">
        <v>11.712999999999999</v>
      </c>
      <c r="F54" s="3">
        <v>117</v>
      </c>
    </row>
    <row r="55" spans="1:6" x14ac:dyDescent="0.25">
      <c r="A55" s="3" t="s">
        <v>1</v>
      </c>
      <c r="B55" s="3">
        <v>100</v>
      </c>
      <c r="C55" s="3">
        <v>1</v>
      </c>
      <c r="D55" s="3">
        <v>63131.07</v>
      </c>
      <c r="E55" s="3">
        <v>11.688000000000001</v>
      </c>
      <c r="F55" s="3">
        <v>120</v>
      </c>
    </row>
    <row r="56" spans="1:6" x14ac:dyDescent="0.25">
      <c r="A56" s="3" t="s">
        <v>1</v>
      </c>
      <c r="B56" s="3">
        <v>100</v>
      </c>
      <c r="C56" s="3">
        <v>1</v>
      </c>
      <c r="D56" s="3">
        <v>63106.39</v>
      </c>
      <c r="E56" s="3">
        <v>11.72</v>
      </c>
      <c r="F56" s="3">
        <v>118</v>
      </c>
    </row>
    <row r="57" spans="1:6" x14ac:dyDescent="0.25">
      <c r="A57" s="3" t="s">
        <v>1</v>
      </c>
      <c r="B57" s="3">
        <v>100</v>
      </c>
      <c r="C57" s="3">
        <v>1</v>
      </c>
      <c r="D57" s="3">
        <v>63088.137999999999</v>
      </c>
      <c r="E57" s="3">
        <v>11.680999999999999</v>
      </c>
      <c r="F57" s="3">
        <v>119</v>
      </c>
    </row>
    <row r="58" spans="1:6" x14ac:dyDescent="0.25">
      <c r="A58" s="3" t="s">
        <v>1</v>
      </c>
      <c r="B58" s="3">
        <v>100</v>
      </c>
      <c r="C58" s="3">
        <v>1</v>
      </c>
      <c r="D58" s="3">
        <v>63071.612000000001</v>
      </c>
      <c r="E58" s="3">
        <v>11.727</v>
      </c>
      <c r="F58" s="3">
        <v>115</v>
      </c>
    </row>
    <row r="59" spans="1:6" x14ac:dyDescent="0.25">
      <c r="A59" s="3" t="s">
        <v>1</v>
      </c>
      <c r="B59" s="3">
        <v>100</v>
      </c>
      <c r="C59" s="3">
        <v>1</v>
      </c>
      <c r="D59" s="3">
        <v>63097.2</v>
      </c>
      <c r="E59" s="3">
        <v>11.678000000000001</v>
      </c>
      <c r="F59" s="3">
        <v>115</v>
      </c>
    </row>
    <row r="60" spans="1:6" x14ac:dyDescent="0.25">
      <c r="A60" s="3" t="s">
        <v>1</v>
      </c>
      <c r="B60" s="3">
        <v>100</v>
      </c>
      <c r="C60" s="3">
        <v>1</v>
      </c>
      <c r="D60" s="3">
        <v>63092.353999999999</v>
      </c>
      <c r="E60" s="3">
        <v>11.742000000000001</v>
      </c>
      <c r="F60" s="3">
        <v>119</v>
      </c>
    </row>
    <row r="61" spans="1:6" x14ac:dyDescent="0.25">
      <c r="A61" s="3" t="s">
        <v>0</v>
      </c>
      <c r="B61" s="3">
        <v>25</v>
      </c>
      <c r="C61" s="3">
        <v>1</v>
      </c>
      <c r="D61" s="3">
        <v>723.74699999999996</v>
      </c>
      <c r="E61" s="3">
        <v>0.90300000000000002</v>
      </c>
      <c r="F61" s="3">
        <v>102</v>
      </c>
    </row>
    <row r="62" spans="1:6" x14ac:dyDescent="0.25">
      <c r="A62" s="3" t="s">
        <v>0</v>
      </c>
      <c r="B62" s="3">
        <v>25</v>
      </c>
      <c r="C62" s="3">
        <v>1</v>
      </c>
      <c r="D62" s="3">
        <v>723.64200000000005</v>
      </c>
      <c r="E62" s="3">
        <v>0.90300000000000002</v>
      </c>
      <c r="F62" s="3">
        <v>118</v>
      </c>
    </row>
    <row r="63" spans="1:6" x14ac:dyDescent="0.25">
      <c r="A63" s="3" t="s">
        <v>0</v>
      </c>
      <c r="B63" s="3">
        <v>25</v>
      </c>
      <c r="C63" s="3">
        <v>1</v>
      </c>
      <c r="D63" s="3">
        <v>723.45699999999999</v>
      </c>
      <c r="E63" s="3">
        <v>0.90600000000000003</v>
      </c>
      <c r="F63" s="3">
        <v>106</v>
      </c>
    </row>
    <row r="64" spans="1:6" x14ac:dyDescent="0.25">
      <c r="A64" s="3" t="s">
        <v>0</v>
      </c>
      <c r="B64" s="3">
        <v>25</v>
      </c>
      <c r="C64" s="3">
        <v>1</v>
      </c>
      <c r="D64" s="3">
        <v>722.96500000000003</v>
      </c>
      <c r="E64" s="3">
        <v>0.90200000000000002</v>
      </c>
      <c r="F64" s="3">
        <v>117</v>
      </c>
    </row>
    <row r="65" spans="1:6" x14ac:dyDescent="0.25">
      <c r="A65" s="3" t="s">
        <v>0</v>
      </c>
      <c r="B65" s="3">
        <v>25</v>
      </c>
      <c r="C65" s="3">
        <v>1</v>
      </c>
      <c r="D65" s="3">
        <v>724.04700000000003</v>
      </c>
      <c r="E65" s="3">
        <v>0.90400000000000003</v>
      </c>
      <c r="F65" s="3">
        <v>104</v>
      </c>
    </row>
    <row r="66" spans="1:6" x14ac:dyDescent="0.25">
      <c r="A66" s="3" t="s">
        <v>0</v>
      </c>
      <c r="B66" s="3">
        <v>25</v>
      </c>
      <c r="C66" s="3">
        <v>1</v>
      </c>
      <c r="D66" s="3">
        <v>724.36199999999997</v>
      </c>
      <c r="E66" s="3">
        <v>0.90700000000000003</v>
      </c>
      <c r="F66" s="3">
        <v>120</v>
      </c>
    </row>
    <row r="67" spans="1:6" x14ac:dyDescent="0.25">
      <c r="A67" s="3" t="s">
        <v>0</v>
      </c>
      <c r="B67" s="3">
        <v>25</v>
      </c>
      <c r="C67" s="3">
        <v>1</v>
      </c>
      <c r="D67" s="3">
        <v>723.524</v>
      </c>
      <c r="E67" s="3">
        <v>0.90200000000000002</v>
      </c>
      <c r="F67" s="3">
        <v>109</v>
      </c>
    </row>
    <row r="68" spans="1:6" x14ac:dyDescent="0.25">
      <c r="A68" s="3" t="s">
        <v>0</v>
      </c>
      <c r="B68" s="3">
        <v>25</v>
      </c>
      <c r="C68" s="3">
        <v>1</v>
      </c>
      <c r="D68" s="3">
        <v>723.74300000000005</v>
      </c>
      <c r="E68" s="3">
        <v>0.90300000000000002</v>
      </c>
      <c r="F68" s="3">
        <v>118</v>
      </c>
    </row>
    <row r="69" spans="1:6" x14ac:dyDescent="0.25">
      <c r="A69" s="3" t="s">
        <v>0</v>
      </c>
      <c r="B69" s="3">
        <v>25</v>
      </c>
      <c r="C69" s="3">
        <v>1</v>
      </c>
      <c r="D69" s="3">
        <v>723.90800000000002</v>
      </c>
      <c r="E69" s="3">
        <v>0.90600000000000003</v>
      </c>
      <c r="F69" s="3">
        <v>95</v>
      </c>
    </row>
    <row r="70" spans="1:6" x14ac:dyDescent="0.25">
      <c r="A70" s="3" t="s">
        <v>0</v>
      </c>
      <c r="B70" s="3">
        <v>25</v>
      </c>
      <c r="C70" s="3">
        <v>1</v>
      </c>
      <c r="D70" s="3">
        <v>722.98400000000004</v>
      </c>
      <c r="E70" s="3">
        <v>0.90600000000000003</v>
      </c>
      <c r="F70" s="3">
        <v>124</v>
      </c>
    </row>
    <row r="71" spans="1:6" x14ac:dyDescent="0.25">
      <c r="A71" s="3" t="s">
        <v>0</v>
      </c>
      <c r="B71" s="3">
        <v>50</v>
      </c>
      <c r="C71" s="3">
        <v>1</v>
      </c>
      <c r="D71" s="3">
        <v>1572.44</v>
      </c>
      <c r="E71" s="3">
        <v>3.371</v>
      </c>
      <c r="F71" s="3">
        <v>126</v>
      </c>
    </row>
    <row r="72" spans="1:6" x14ac:dyDescent="0.25">
      <c r="A72" s="3" t="s">
        <v>0</v>
      </c>
      <c r="B72" s="3">
        <v>50</v>
      </c>
      <c r="C72" s="3">
        <v>1</v>
      </c>
      <c r="D72" s="3">
        <v>1571.34</v>
      </c>
      <c r="E72" s="3">
        <v>3.3759999999999999</v>
      </c>
      <c r="F72" s="3">
        <v>125</v>
      </c>
    </row>
    <row r="73" spans="1:6" x14ac:dyDescent="0.25">
      <c r="A73" s="3" t="s">
        <v>0</v>
      </c>
      <c r="B73" s="3">
        <v>50</v>
      </c>
      <c r="C73" s="3">
        <v>1</v>
      </c>
      <c r="D73" s="3">
        <v>1571.058</v>
      </c>
      <c r="E73" s="3">
        <v>3.379</v>
      </c>
      <c r="F73" s="3">
        <v>129</v>
      </c>
    </row>
    <row r="74" spans="1:6" x14ac:dyDescent="0.25">
      <c r="A74" s="3" t="s">
        <v>0</v>
      </c>
      <c r="B74" s="3">
        <v>50</v>
      </c>
      <c r="C74" s="3">
        <v>1</v>
      </c>
      <c r="D74" s="3">
        <v>1572.6089999999999</v>
      </c>
      <c r="E74" s="3">
        <v>3.3860000000000001</v>
      </c>
      <c r="F74" s="3">
        <v>129</v>
      </c>
    </row>
    <row r="75" spans="1:6" x14ac:dyDescent="0.25">
      <c r="A75" s="3" t="s">
        <v>0</v>
      </c>
      <c r="B75" s="3">
        <v>50</v>
      </c>
      <c r="C75" s="3">
        <v>1</v>
      </c>
      <c r="D75" s="3">
        <v>1571.952</v>
      </c>
      <c r="E75" s="3">
        <v>3.3759999999999999</v>
      </c>
      <c r="F75" s="3">
        <v>133</v>
      </c>
    </row>
    <row r="76" spans="1:6" x14ac:dyDescent="0.25">
      <c r="A76" s="3" t="s">
        <v>0</v>
      </c>
      <c r="B76" s="3">
        <v>50</v>
      </c>
      <c r="C76" s="3">
        <v>1</v>
      </c>
      <c r="D76" s="3">
        <v>1570.913</v>
      </c>
      <c r="E76" s="3">
        <v>3.3769999999999998</v>
      </c>
      <c r="F76" s="3">
        <v>127</v>
      </c>
    </row>
    <row r="77" spans="1:6" x14ac:dyDescent="0.25">
      <c r="A77" s="3" t="s">
        <v>0</v>
      </c>
      <c r="B77" s="3">
        <v>50</v>
      </c>
      <c r="C77" s="3">
        <v>1</v>
      </c>
      <c r="D77" s="3">
        <v>1571.742</v>
      </c>
      <c r="E77" s="3">
        <v>3.3780000000000001</v>
      </c>
      <c r="F77" s="3">
        <v>124</v>
      </c>
    </row>
    <row r="78" spans="1:6" x14ac:dyDescent="0.25">
      <c r="A78" s="3" t="s">
        <v>0</v>
      </c>
      <c r="B78" s="3">
        <v>50</v>
      </c>
      <c r="C78" s="3">
        <v>1</v>
      </c>
      <c r="D78" s="3">
        <v>1571.252</v>
      </c>
      <c r="E78" s="3">
        <v>3.38</v>
      </c>
      <c r="F78" s="3">
        <v>132</v>
      </c>
    </row>
    <row r="79" spans="1:6" x14ac:dyDescent="0.25">
      <c r="A79" s="3" t="s">
        <v>0</v>
      </c>
      <c r="B79" s="3">
        <v>50</v>
      </c>
      <c r="C79" s="3">
        <v>1</v>
      </c>
      <c r="D79" s="3">
        <v>1572.3810000000001</v>
      </c>
      <c r="E79" s="3">
        <v>3.3679999999999999</v>
      </c>
      <c r="F79" s="3">
        <v>125</v>
      </c>
    </row>
    <row r="80" spans="1:6" x14ac:dyDescent="0.25">
      <c r="A80" s="3" t="s">
        <v>0</v>
      </c>
      <c r="B80" s="3">
        <v>50</v>
      </c>
      <c r="C80" s="3">
        <v>1</v>
      </c>
      <c r="D80" s="3">
        <v>1571.04</v>
      </c>
      <c r="E80" s="3">
        <v>3.3740000000000001</v>
      </c>
      <c r="F80" s="3">
        <v>131</v>
      </c>
    </row>
    <row r="81" spans="1:6" x14ac:dyDescent="0.25">
      <c r="A81" s="3" t="s">
        <v>0</v>
      </c>
      <c r="B81" s="3">
        <v>100</v>
      </c>
      <c r="C81" s="3">
        <v>1</v>
      </c>
      <c r="D81" s="3">
        <v>3292.1010000000001</v>
      </c>
      <c r="E81" s="3">
        <v>11.375</v>
      </c>
      <c r="F81" s="3">
        <v>112</v>
      </c>
    </row>
    <row r="82" spans="1:6" x14ac:dyDescent="0.25">
      <c r="A82" s="3" t="s">
        <v>0</v>
      </c>
      <c r="B82" s="3">
        <v>100</v>
      </c>
      <c r="C82" s="3">
        <v>1</v>
      </c>
      <c r="D82" s="3">
        <v>3338.2310000000002</v>
      </c>
      <c r="E82" s="3">
        <v>11.316000000000001</v>
      </c>
      <c r="F82" s="3">
        <v>108</v>
      </c>
    </row>
    <row r="83" spans="1:6" x14ac:dyDescent="0.25">
      <c r="A83" s="3" t="s">
        <v>0</v>
      </c>
      <c r="B83" s="3">
        <v>100</v>
      </c>
      <c r="C83" s="3">
        <v>1</v>
      </c>
      <c r="D83" s="3">
        <v>3329.9430000000002</v>
      </c>
      <c r="E83" s="3">
        <v>11.371</v>
      </c>
      <c r="F83" s="3">
        <v>111</v>
      </c>
    </row>
    <row r="84" spans="1:6" x14ac:dyDescent="0.25">
      <c r="A84" s="3" t="s">
        <v>0</v>
      </c>
      <c r="B84" s="3">
        <v>100</v>
      </c>
      <c r="C84" s="3">
        <v>1</v>
      </c>
      <c r="D84" s="3">
        <v>3291.7429999999999</v>
      </c>
      <c r="E84" s="3">
        <v>11.339</v>
      </c>
      <c r="F84" s="3">
        <v>114</v>
      </c>
    </row>
    <row r="85" spans="1:6" x14ac:dyDescent="0.25">
      <c r="A85" s="3" t="s">
        <v>0</v>
      </c>
      <c r="B85" s="3">
        <v>100</v>
      </c>
      <c r="C85" s="3">
        <v>1</v>
      </c>
      <c r="D85" s="3">
        <v>3294.8939999999998</v>
      </c>
      <c r="E85" s="3">
        <v>11.38</v>
      </c>
      <c r="F85" s="3">
        <v>112</v>
      </c>
    </row>
    <row r="86" spans="1:6" x14ac:dyDescent="0.25">
      <c r="A86" s="3" t="s">
        <v>0</v>
      </c>
      <c r="B86" s="3">
        <v>100</v>
      </c>
      <c r="C86" s="3">
        <v>1</v>
      </c>
      <c r="D86" s="3">
        <v>3322.09</v>
      </c>
      <c r="E86" s="3">
        <v>11.331</v>
      </c>
      <c r="F86" s="3">
        <v>110</v>
      </c>
    </row>
    <row r="87" spans="1:6" x14ac:dyDescent="0.25">
      <c r="A87" s="3" t="s">
        <v>0</v>
      </c>
      <c r="B87" s="3">
        <v>100</v>
      </c>
      <c r="C87" s="3">
        <v>1</v>
      </c>
      <c r="D87" s="3">
        <v>3330.183</v>
      </c>
      <c r="E87" s="3">
        <v>11.374000000000001</v>
      </c>
      <c r="F87" s="3">
        <v>108</v>
      </c>
    </row>
    <row r="88" spans="1:6" x14ac:dyDescent="0.25">
      <c r="A88" s="3" t="s">
        <v>0</v>
      </c>
      <c r="B88" s="3">
        <v>100</v>
      </c>
      <c r="C88" s="3">
        <v>1</v>
      </c>
      <c r="D88" s="3">
        <v>3333.59</v>
      </c>
      <c r="E88" s="3">
        <v>11.374000000000001</v>
      </c>
      <c r="F88" s="3">
        <v>110</v>
      </c>
    </row>
    <row r="89" spans="1:6" x14ac:dyDescent="0.25">
      <c r="A89" s="3" t="s">
        <v>0</v>
      </c>
      <c r="B89" s="3">
        <v>100</v>
      </c>
      <c r="C89" s="3">
        <v>1</v>
      </c>
      <c r="D89" s="3">
        <v>3292.087</v>
      </c>
      <c r="E89" s="3">
        <v>11.362</v>
      </c>
      <c r="F89" s="3">
        <v>110</v>
      </c>
    </row>
    <row r="90" spans="1:6" x14ac:dyDescent="0.25">
      <c r="A90" s="3" t="s">
        <v>0</v>
      </c>
      <c r="B90" s="3">
        <v>100</v>
      </c>
      <c r="C90" s="3">
        <v>1</v>
      </c>
      <c r="D90" s="3">
        <v>3330.36</v>
      </c>
      <c r="E90" s="3">
        <v>11.31</v>
      </c>
      <c r="F90" s="3">
        <v>108</v>
      </c>
    </row>
  </sheetData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0"/>
  <sheetViews>
    <sheetView zoomScale="85" zoomScaleNormal="85" workbookViewId="0">
      <selection sqref="A1:F91"/>
    </sheetView>
  </sheetViews>
  <sheetFormatPr defaultColWidth="9" defaultRowHeight="15" x14ac:dyDescent="0.25"/>
  <cols>
    <col min="1" max="1" width="10" style="3" customWidth="1"/>
    <col min="2" max="2" width="4.375" style="3" bestFit="1" customWidth="1"/>
    <col min="3" max="3" width="2.625" style="3" bestFit="1" customWidth="1"/>
    <col min="4" max="4" width="10.375" style="3" customWidth="1"/>
    <col min="5" max="5" width="7" style="3" bestFit="1" customWidth="1"/>
    <col min="6" max="6" width="4.375" style="3" bestFit="1" customWidth="1"/>
    <col min="7" max="7" width="2.5" style="3" customWidth="1"/>
    <col min="8" max="8" width="10" style="3" customWidth="1"/>
    <col min="9" max="9" width="4.375" style="3" bestFit="1" customWidth="1"/>
    <col min="10" max="10" width="3.125" style="3" bestFit="1" customWidth="1"/>
    <col min="11" max="11" width="2.125" style="3" customWidth="1"/>
    <col min="12" max="21" width="9" style="3"/>
    <col min="22" max="22" width="2.375" style="3" customWidth="1"/>
    <col min="23" max="23" width="9" style="3"/>
    <col min="24" max="24" width="2.625" style="3" customWidth="1"/>
    <col min="25" max="25" width="9" style="3"/>
    <col min="26" max="26" width="2.375" style="3" customWidth="1"/>
    <col min="27" max="27" width="2.5" style="3" customWidth="1"/>
    <col min="28" max="37" width="9" style="3"/>
    <col min="38" max="38" width="5.625" style="3" customWidth="1"/>
    <col min="39" max="16384" width="9" style="3"/>
  </cols>
  <sheetData>
    <row r="1" spans="1:39" x14ac:dyDescent="0.25">
      <c r="A1" s="3" t="s">
        <v>2</v>
      </c>
      <c r="B1" s="3">
        <v>24</v>
      </c>
      <c r="C1" s="3">
        <v>1</v>
      </c>
      <c r="D1" s="3">
        <v>56015.284</v>
      </c>
      <c r="E1" s="3">
        <v>1.24</v>
      </c>
      <c r="F1" s="3">
        <v>163</v>
      </c>
      <c r="H1" s="5" t="s">
        <v>13</v>
      </c>
      <c r="I1" s="5" t="s">
        <v>14</v>
      </c>
      <c r="J1" s="5" t="s">
        <v>10</v>
      </c>
      <c r="K1" s="2"/>
      <c r="L1" s="2">
        <v>1</v>
      </c>
      <c r="M1" s="2">
        <v>2</v>
      </c>
      <c r="N1" s="2">
        <v>3</v>
      </c>
      <c r="O1" s="2">
        <v>4</v>
      </c>
      <c r="P1" s="2">
        <v>5</v>
      </c>
      <c r="Q1" s="2">
        <v>6</v>
      </c>
      <c r="R1" s="2">
        <v>7</v>
      </c>
      <c r="S1" s="2">
        <v>8</v>
      </c>
      <c r="T1" s="2">
        <v>9</v>
      </c>
      <c r="U1" s="2">
        <v>10</v>
      </c>
      <c r="W1" s="2" t="s">
        <v>11</v>
      </c>
      <c r="X1" s="2"/>
      <c r="Y1" s="2" t="s">
        <v>9</v>
      </c>
      <c r="Z1" s="2"/>
      <c r="AM1" s="5" t="s">
        <v>12</v>
      </c>
    </row>
    <row r="2" spans="1:39" x14ac:dyDescent="0.25">
      <c r="A2" s="3" t="s">
        <v>2</v>
      </c>
      <c r="B2" s="3">
        <v>24</v>
      </c>
      <c r="C2" s="3">
        <v>1</v>
      </c>
      <c r="D2" s="3">
        <v>55989.482000000004</v>
      </c>
      <c r="E2" s="3">
        <v>1.2390000000000001</v>
      </c>
      <c r="F2" s="3">
        <v>173</v>
      </c>
      <c r="H2" s="3" t="s">
        <v>2</v>
      </c>
      <c r="I2" s="3">
        <v>24</v>
      </c>
      <c r="J2" s="3">
        <v>1</v>
      </c>
      <c r="L2" s="3">
        <f ca="1">INDIRECT("D"&amp;1+(ROW(D1)-1)*10+COLUMN(A1)-1)</f>
        <v>56015.284</v>
      </c>
      <c r="M2" s="3">
        <f t="shared" ref="M2:U10" ca="1" si="0">INDIRECT("D"&amp;1+(ROW(E1)-1)*10+COLUMN(B1)-1)</f>
        <v>55989.482000000004</v>
      </c>
      <c r="N2" s="3">
        <f t="shared" ca="1" si="0"/>
        <v>55974.481</v>
      </c>
      <c r="O2" s="3">
        <f t="shared" ca="1" si="0"/>
        <v>55999.732000000004</v>
      </c>
      <c r="P2" s="3">
        <f t="shared" ca="1" si="0"/>
        <v>55995.502999999997</v>
      </c>
      <c r="Q2" s="3">
        <f t="shared" ca="1" si="0"/>
        <v>55984.254000000001</v>
      </c>
      <c r="R2" s="3">
        <f t="shared" ca="1" si="0"/>
        <v>55990.66</v>
      </c>
      <c r="S2" s="3">
        <f t="shared" ca="1" si="0"/>
        <v>56030.152000000002</v>
      </c>
      <c r="T2" s="3">
        <f t="shared" ca="1" si="0"/>
        <v>55980.023999999998</v>
      </c>
      <c r="U2" s="3">
        <f t="shared" ca="1" si="0"/>
        <v>55977.067000000003</v>
      </c>
      <c r="W2" s="3">
        <f ca="1">AVERAGE(L2:U2)</f>
        <v>55993.6639</v>
      </c>
      <c r="Y2" s="3">
        <f ca="1">Total!E2</f>
        <v>55722.476000000002</v>
      </c>
      <c r="AB2" s="3">
        <f t="shared" ref="AB2:AK10" ca="1" si="1">(L2-$Y2)/$Y2</f>
        <v>5.2547557290885142E-3</v>
      </c>
      <c r="AC2" s="3">
        <f t="shared" ca="1" si="1"/>
        <v>4.7917109785286854E-3</v>
      </c>
      <c r="AD2" s="3">
        <f t="shared" ca="1" si="1"/>
        <v>4.5225018357044535E-3</v>
      </c>
      <c r="AE2" s="3">
        <f t="shared" ca="1" si="1"/>
        <v>4.9756582963040126E-3</v>
      </c>
      <c r="AF2" s="3">
        <f t="shared" ca="1" si="1"/>
        <v>4.8997643249017609E-3</v>
      </c>
      <c r="AG2" s="3">
        <f t="shared" ca="1" si="1"/>
        <v>4.6978888734233275E-3</v>
      </c>
      <c r="AH2" s="3">
        <f t="shared" ca="1" si="1"/>
        <v>4.8128514605130087E-3</v>
      </c>
      <c r="AI2" s="3">
        <f t="shared" ca="1" si="1"/>
        <v>5.5215780433015837E-3</v>
      </c>
      <c r="AJ2" s="3">
        <f t="shared" ca="1" si="1"/>
        <v>4.6219769559413554E-3</v>
      </c>
      <c r="AK2" s="3">
        <f t="shared" ca="1" si="1"/>
        <v>4.5689103980232383E-3</v>
      </c>
      <c r="AM2" s="3">
        <f ca="1">SUM(AB2:AK2)</f>
        <v>4.8667596895729942E-2</v>
      </c>
    </row>
    <row r="3" spans="1:39" x14ac:dyDescent="0.25">
      <c r="A3" s="3" t="s">
        <v>2</v>
      </c>
      <c r="B3" s="3">
        <v>24</v>
      </c>
      <c r="C3" s="3">
        <v>1</v>
      </c>
      <c r="D3" s="3">
        <v>55974.481</v>
      </c>
      <c r="E3" s="3">
        <v>1.238</v>
      </c>
      <c r="F3" s="3">
        <v>187</v>
      </c>
      <c r="H3" s="3" t="s">
        <v>2</v>
      </c>
      <c r="I3" s="3">
        <v>47</v>
      </c>
      <c r="J3" s="3">
        <v>1</v>
      </c>
      <c r="L3" s="3">
        <f t="shared" ref="L3:L10" ca="1" si="2">INDIRECT("D"&amp;1+(ROW(D2)-1)*10+COLUMN(A2)-1)</f>
        <v>126254.65300000001</v>
      </c>
      <c r="M3" s="3">
        <f t="shared" ca="1" si="0"/>
        <v>126500.443</v>
      </c>
      <c r="N3" s="3">
        <f t="shared" ca="1" si="0"/>
        <v>126414.905</v>
      </c>
      <c r="O3" s="3">
        <f t="shared" ca="1" si="0"/>
        <v>126339.86500000001</v>
      </c>
      <c r="P3" s="3">
        <f t="shared" ca="1" si="0"/>
        <v>126247.12</v>
      </c>
      <c r="Q3" s="3">
        <f t="shared" ca="1" si="0"/>
        <v>126238.501</v>
      </c>
      <c r="R3" s="3">
        <f t="shared" ca="1" si="0"/>
        <v>126128.33100000001</v>
      </c>
      <c r="S3" s="3">
        <f t="shared" ca="1" si="0"/>
        <v>126239.959</v>
      </c>
      <c r="T3" s="3">
        <f t="shared" ca="1" si="0"/>
        <v>126223.552</v>
      </c>
      <c r="U3" s="3">
        <f t="shared" ca="1" si="0"/>
        <v>126216.098</v>
      </c>
      <c r="W3" s="3">
        <f t="shared" ref="W3:W10" ca="1" si="3">AVERAGE(L3:U3)</f>
        <v>126280.34270000001</v>
      </c>
      <c r="Y3" s="3">
        <f ca="1">Total!E3</f>
        <v>126021.209</v>
      </c>
      <c r="AB3" s="3">
        <f t="shared" ca="1" si="1"/>
        <v>1.8524183496763877E-3</v>
      </c>
      <c r="AC3" s="3">
        <f t="shared" ca="1" si="1"/>
        <v>3.8028043358955296E-3</v>
      </c>
      <c r="AD3" s="3">
        <f t="shared" ca="1" si="1"/>
        <v>3.1240455723607306E-3</v>
      </c>
      <c r="AE3" s="3">
        <f t="shared" ca="1" si="1"/>
        <v>2.528590247059149E-3</v>
      </c>
      <c r="AF3" s="3">
        <f t="shared" ca="1" si="1"/>
        <v>1.792642697151023E-3</v>
      </c>
      <c r="AG3" s="3">
        <f t="shared" ca="1" si="1"/>
        <v>1.724249447567205E-3</v>
      </c>
      <c r="AH3" s="3">
        <f t="shared" ca="1" si="1"/>
        <v>8.5003152128149335E-4</v>
      </c>
      <c r="AI3" s="3">
        <f t="shared" ca="1" si="1"/>
        <v>1.7358189287011204E-3</v>
      </c>
      <c r="AJ3" s="3">
        <f t="shared" ca="1" si="1"/>
        <v>1.6056265576693005E-3</v>
      </c>
      <c r="AK3" s="3">
        <f t="shared" ca="1" si="1"/>
        <v>1.5464777837514284E-3</v>
      </c>
      <c r="AM3" s="3">
        <f t="shared" ref="AM3:AM10" ca="1" si="4">SUM(AB3:AK3)</f>
        <v>2.0562705441113369E-2</v>
      </c>
    </row>
    <row r="4" spans="1:39" x14ac:dyDescent="0.25">
      <c r="A4" s="3" t="s">
        <v>2</v>
      </c>
      <c r="B4" s="3">
        <v>24</v>
      </c>
      <c r="C4" s="3">
        <v>1</v>
      </c>
      <c r="D4" s="3">
        <v>55999.732000000004</v>
      </c>
      <c r="E4" s="3">
        <v>1.236</v>
      </c>
      <c r="F4" s="3">
        <v>181</v>
      </c>
      <c r="H4" s="3" t="s">
        <v>2</v>
      </c>
      <c r="I4" s="3">
        <v>100</v>
      </c>
      <c r="J4" s="3">
        <v>1</v>
      </c>
      <c r="L4" s="3">
        <f t="shared" ca="1" si="2"/>
        <v>1217633.17</v>
      </c>
      <c r="M4" s="3">
        <f t="shared" ca="1" si="0"/>
        <v>1216908.8459999999</v>
      </c>
      <c r="N4" s="3">
        <f t="shared" ca="1" si="0"/>
        <v>1216761.76</v>
      </c>
      <c r="O4" s="3">
        <f t="shared" ca="1" si="0"/>
        <v>1217297.7420000001</v>
      </c>
      <c r="P4" s="3">
        <f t="shared" ca="1" si="0"/>
        <v>1216842.2819999999</v>
      </c>
      <c r="Q4" s="3">
        <f t="shared" ca="1" si="0"/>
        <v>1217113.54</v>
      </c>
      <c r="R4" s="3">
        <f t="shared" ca="1" si="0"/>
        <v>1216649.9450000001</v>
      </c>
      <c r="S4" s="3">
        <f t="shared" ca="1" si="0"/>
        <v>1217272.8370000001</v>
      </c>
      <c r="T4" s="3">
        <f t="shared" ca="1" si="0"/>
        <v>1216827.9469999999</v>
      </c>
      <c r="U4" s="3">
        <f t="shared" ca="1" si="0"/>
        <v>1217054.307</v>
      </c>
      <c r="W4" s="3">
        <f t="shared" ca="1" si="3"/>
        <v>1217036.2375999999</v>
      </c>
      <c r="Y4" s="3">
        <f ca="1">Total!E4</f>
        <v>1216556.6340000001</v>
      </c>
      <c r="AB4" s="3">
        <f t="shared" ca="1" si="1"/>
        <v>8.8490413837967463E-4</v>
      </c>
      <c r="AC4" s="3">
        <f t="shared" ca="1" si="1"/>
        <v>2.8951549821545333E-4</v>
      </c>
      <c r="AD4" s="3">
        <f t="shared" ca="1" si="1"/>
        <v>1.6861196122492319E-4</v>
      </c>
      <c r="AE4" s="3">
        <f t="shared" ca="1" si="1"/>
        <v>6.0918495636595857E-4</v>
      </c>
      <c r="AF4" s="3">
        <f t="shared" ca="1" si="1"/>
        <v>2.3480041291675029E-4</v>
      </c>
      <c r="AG4" s="3">
        <f t="shared" ca="1" si="1"/>
        <v>4.5777235883287206E-4</v>
      </c>
      <c r="AH4" s="3">
        <f t="shared" ca="1" si="1"/>
        <v>7.670090926485134E-5</v>
      </c>
      <c r="AI4" s="3">
        <f t="shared" ca="1" si="1"/>
        <v>5.8871324193525334E-4</v>
      </c>
      <c r="AJ4" s="3">
        <f t="shared" ca="1" si="1"/>
        <v>2.2301715548398308E-4</v>
      </c>
      <c r="AK4" s="3">
        <f t="shared" ca="1" si="1"/>
        <v>4.0908329796667035E-4</v>
      </c>
      <c r="AM4" s="3">
        <f t="shared" ca="1" si="4"/>
        <v>3.9423039305863904E-3</v>
      </c>
    </row>
    <row r="5" spans="1:39" x14ac:dyDescent="0.25">
      <c r="A5" s="3" t="s">
        <v>2</v>
      </c>
      <c r="B5" s="3">
        <v>24</v>
      </c>
      <c r="C5" s="3">
        <v>1</v>
      </c>
      <c r="D5" s="3">
        <v>55995.502999999997</v>
      </c>
      <c r="E5" s="3">
        <v>1.2350000000000001</v>
      </c>
      <c r="F5" s="3">
        <v>175</v>
      </c>
      <c r="H5" s="3" t="s">
        <v>1</v>
      </c>
      <c r="I5" s="3">
        <v>30</v>
      </c>
      <c r="J5" s="3">
        <v>1</v>
      </c>
      <c r="L5" s="3">
        <f t="shared" ca="1" si="2"/>
        <v>20031.777999999998</v>
      </c>
      <c r="M5" s="3">
        <f t="shared" ca="1" si="0"/>
        <v>20026.43</v>
      </c>
      <c r="N5" s="3">
        <f t="shared" ca="1" si="0"/>
        <v>20026.231</v>
      </c>
      <c r="O5" s="3">
        <f t="shared" ca="1" si="0"/>
        <v>20010.359</v>
      </c>
      <c r="P5" s="3">
        <f t="shared" ca="1" si="0"/>
        <v>20015.293000000001</v>
      </c>
      <c r="Q5" s="3">
        <f t="shared" ca="1" si="0"/>
        <v>20002.998</v>
      </c>
      <c r="R5" s="3">
        <f t="shared" ca="1" si="0"/>
        <v>20016.481</v>
      </c>
      <c r="S5" s="3">
        <f t="shared" ca="1" si="0"/>
        <v>20004.157999999999</v>
      </c>
      <c r="T5" s="3">
        <f t="shared" ca="1" si="0"/>
        <v>20039.585999999999</v>
      </c>
      <c r="U5" s="3">
        <f t="shared" ca="1" si="0"/>
        <v>20035.433000000001</v>
      </c>
      <c r="W5" s="3">
        <f t="shared" ca="1" si="3"/>
        <v>20020.8747</v>
      </c>
      <c r="Y5" s="3">
        <f ca="1">Total!E5</f>
        <v>19969.536</v>
      </c>
      <c r="AB5" s="3">
        <f t="shared" ca="1" si="1"/>
        <v>3.1168475822371824E-3</v>
      </c>
      <c r="AC5" s="3">
        <f t="shared" ca="1" si="1"/>
        <v>2.8490396572058677E-3</v>
      </c>
      <c r="AD5" s="3">
        <f t="shared" ca="1" si="1"/>
        <v>2.8390744782452485E-3</v>
      </c>
      <c r="AE5" s="3">
        <f t="shared" ca="1" si="1"/>
        <v>2.0442638226546837E-3</v>
      </c>
      <c r="AF5" s="3">
        <f t="shared" ca="1" si="1"/>
        <v>2.2913401693460192E-3</v>
      </c>
      <c r="AG5" s="3">
        <f t="shared" ca="1" si="1"/>
        <v>1.6756523536650793E-3</v>
      </c>
      <c r="AH5" s="3">
        <f t="shared" ca="1" si="1"/>
        <v>2.3508307854523867E-3</v>
      </c>
      <c r="AI5" s="3">
        <f t="shared" ca="1" si="1"/>
        <v>1.7337408340383767E-3</v>
      </c>
      <c r="AJ5" s="3">
        <f t="shared" ca="1" si="1"/>
        <v>3.5078431466809882E-3</v>
      </c>
      <c r="AK5" s="3">
        <f t="shared" ca="1" si="1"/>
        <v>3.2998763716893995E-3</v>
      </c>
      <c r="AM5" s="3">
        <f t="shared" ca="1" si="4"/>
        <v>2.5708509201215229E-2</v>
      </c>
    </row>
    <row r="6" spans="1:39" x14ac:dyDescent="0.25">
      <c r="A6" s="3" t="s">
        <v>2</v>
      </c>
      <c r="B6" s="3">
        <v>24</v>
      </c>
      <c r="C6" s="3">
        <v>1</v>
      </c>
      <c r="D6" s="3">
        <v>55984.254000000001</v>
      </c>
      <c r="E6" s="3">
        <v>1.2390000000000001</v>
      </c>
      <c r="F6" s="3">
        <v>168</v>
      </c>
      <c r="H6" s="3" t="s">
        <v>1</v>
      </c>
      <c r="I6" s="3">
        <v>50</v>
      </c>
      <c r="J6" s="3">
        <v>1</v>
      </c>
      <c r="L6" s="3">
        <f t="shared" ca="1" si="2"/>
        <v>35411.995999999999</v>
      </c>
      <c r="M6" s="3">
        <f t="shared" ca="1" si="0"/>
        <v>35436.273000000001</v>
      </c>
      <c r="N6" s="3">
        <f t="shared" ca="1" si="0"/>
        <v>35375.284</v>
      </c>
      <c r="O6" s="3">
        <f t="shared" ca="1" si="0"/>
        <v>35420.951000000001</v>
      </c>
      <c r="P6" s="3">
        <f t="shared" ca="1" si="0"/>
        <v>35315.639000000003</v>
      </c>
      <c r="Q6" s="3">
        <f t="shared" ca="1" si="0"/>
        <v>35375.64</v>
      </c>
      <c r="R6" s="3">
        <f t="shared" ca="1" si="0"/>
        <v>35401.644999999997</v>
      </c>
      <c r="S6" s="3">
        <f t="shared" ca="1" si="0"/>
        <v>35383.076999999997</v>
      </c>
      <c r="T6" s="3">
        <f t="shared" ca="1" si="0"/>
        <v>35415.828999999998</v>
      </c>
      <c r="U6" s="3">
        <f t="shared" ca="1" si="0"/>
        <v>35423.614000000001</v>
      </c>
      <c r="W6" s="3">
        <f t="shared" ca="1" si="3"/>
        <v>35395.9948</v>
      </c>
      <c r="Y6" s="3">
        <f ca="1">Total!E6</f>
        <v>35277.981</v>
      </c>
      <c r="AB6" s="3">
        <f t="shared" ca="1" si="1"/>
        <v>3.79882851005559E-3</v>
      </c>
      <c r="AC6" s="3">
        <f t="shared" ca="1" si="1"/>
        <v>4.4869914749373352E-3</v>
      </c>
      <c r="AD6" s="3">
        <f t="shared" ca="1" si="1"/>
        <v>2.7581793867398445E-3</v>
      </c>
      <c r="AE6" s="3">
        <f t="shared" ca="1" si="1"/>
        <v>4.0526695674562886E-3</v>
      </c>
      <c r="AF6" s="3">
        <f t="shared" ca="1" si="1"/>
        <v>1.0674647168726317E-3</v>
      </c>
      <c r="AG6" s="3">
        <f t="shared" ca="1" si="1"/>
        <v>2.768270667190383E-3</v>
      </c>
      <c r="AH6" s="3">
        <f t="shared" ca="1" si="1"/>
        <v>3.5054160270679047E-3</v>
      </c>
      <c r="AI6" s="3">
        <f t="shared" ca="1" si="1"/>
        <v>2.979082051209159E-3</v>
      </c>
      <c r="AJ6" s="3">
        <f t="shared" ca="1" si="1"/>
        <v>3.9074798526593157E-3</v>
      </c>
      <c r="AK6" s="3">
        <f t="shared" ca="1" si="1"/>
        <v>4.1281557467815868E-3</v>
      </c>
      <c r="AM6" s="3">
        <f t="shared" ca="1" si="4"/>
        <v>3.345253800097004E-2</v>
      </c>
    </row>
    <row r="7" spans="1:39" x14ac:dyDescent="0.25">
      <c r="A7" s="3" t="s">
        <v>2</v>
      </c>
      <c r="B7" s="3">
        <v>24</v>
      </c>
      <c r="C7" s="3">
        <v>1</v>
      </c>
      <c r="D7" s="3">
        <v>55990.66</v>
      </c>
      <c r="E7" s="3">
        <v>1.238</v>
      </c>
      <c r="F7" s="3">
        <v>174</v>
      </c>
      <c r="H7" s="3" t="s">
        <v>1</v>
      </c>
      <c r="I7" s="3">
        <v>100</v>
      </c>
      <c r="J7" s="3">
        <v>1</v>
      </c>
      <c r="L7" s="3">
        <f t="shared" ca="1" si="2"/>
        <v>63157.913999999997</v>
      </c>
      <c r="M7" s="3">
        <f t="shared" ca="1" si="0"/>
        <v>63137.690999999999</v>
      </c>
      <c r="N7" s="3">
        <f t="shared" ca="1" si="0"/>
        <v>63113.273999999998</v>
      </c>
      <c r="O7" s="3">
        <f t="shared" ca="1" si="0"/>
        <v>63197.154000000002</v>
      </c>
      <c r="P7" s="3">
        <f t="shared" ca="1" si="0"/>
        <v>63092.267999999996</v>
      </c>
      <c r="Q7" s="3">
        <f t="shared" ca="1" si="0"/>
        <v>63236.606</v>
      </c>
      <c r="R7" s="3">
        <f t="shared" ca="1" si="0"/>
        <v>63106.669000000002</v>
      </c>
      <c r="S7" s="3">
        <f t="shared" ca="1" si="0"/>
        <v>63189.779000000002</v>
      </c>
      <c r="T7" s="3">
        <f t="shared" ca="1" si="0"/>
        <v>63119.917999999998</v>
      </c>
      <c r="U7" s="3">
        <f t="shared" ca="1" si="0"/>
        <v>63099.68</v>
      </c>
      <c r="W7" s="3">
        <f t="shared" ca="1" si="3"/>
        <v>63145.095300000001</v>
      </c>
      <c r="Y7" s="3">
        <f ca="1">Total!E7</f>
        <v>63035.512000000002</v>
      </c>
      <c r="AB7" s="3">
        <f t="shared" ca="1" si="1"/>
        <v>1.9417943333274517E-3</v>
      </c>
      <c r="AC7" s="3">
        <f t="shared" ca="1" si="1"/>
        <v>1.6209751734862794E-3</v>
      </c>
      <c r="AD7" s="3">
        <f t="shared" ca="1" si="1"/>
        <v>1.2336220890851995E-3</v>
      </c>
      <c r="AE7" s="3">
        <f t="shared" ca="1" si="1"/>
        <v>2.5643005802824257E-3</v>
      </c>
      <c r="AF7" s="3">
        <f t="shared" ca="1" si="1"/>
        <v>9.0038135963730964E-4</v>
      </c>
      <c r="AG7" s="3">
        <f t="shared" ca="1" si="1"/>
        <v>3.1901700108344852E-3</v>
      </c>
      <c r="AH7" s="3">
        <f t="shared" ca="1" si="1"/>
        <v>1.1288398831439529E-3</v>
      </c>
      <c r="AI7" s="3">
        <f t="shared" ca="1" si="1"/>
        <v>2.4473030376908783E-3</v>
      </c>
      <c r="AJ7" s="3">
        <f t="shared" ca="1" si="1"/>
        <v>1.3390229938958123E-3</v>
      </c>
      <c r="AK7" s="3">
        <f t="shared" ca="1" si="1"/>
        <v>1.0179658729510732E-3</v>
      </c>
      <c r="AM7" s="3">
        <f t="shared" ca="1" si="4"/>
        <v>1.7384375334334866E-2</v>
      </c>
    </row>
    <row r="8" spans="1:39" x14ac:dyDescent="0.25">
      <c r="A8" s="3" t="s">
        <v>2</v>
      </c>
      <c r="B8" s="3">
        <v>24</v>
      </c>
      <c r="C8" s="3">
        <v>1</v>
      </c>
      <c r="D8" s="3">
        <v>56030.152000000002</v>
      </c>
      <c r="E8" s="3">
        <v>1.2390000000000001</v>
      </c>
      <c r="F8" s="3">
        <v>186</v>
      </c>
      <c r="H8" s="3" t="s">
        <v>0</v>
      </c>
      <c r="I8" s="3">
        <v>25</v>
      </c>
      <c r="J8" s="3">
        <v>1</v>
      </c>
      <c r="L8" s="3">
        <f t="shared" ca="1" si="2"/>
        <v>723.51</v>
      </c>
      <c r="M8" s="3">
        <f t="shared" ca="1" si="0"/>
        <v>723.27599999999995</v>
      </c>
      <c r="N8" s="3">
        <f t="shared" ca="1" si="0"/>
        <v>722.96699999999998</v>
      </c>
      <c r="O8" s="3">
        <f t="shared" ca="1" si="0"/>
        <v>723.51900000000001</v>
      </c>
      <c r="P8" s="3">
        <f t="shared" ca="1" si="0"/>
        <v>723.57899999999995</v>
      </c>
      <c r="Q8" s="3">
        <f t="shared" ca="1" si="0"/>
        <v>722.96500000000003</v>
      </c>
      <c r="R8" s="3">
        <f t="shared" ca="1" si="0"/>
        <v>723.03399999999999</v>
      </c>
      <c r="S8" s="3">
        <f t="shared" ca="1" si="0"/>
        <v>723.41399999999999</v>
      </c>
      <c r="T8" s="3">
        <f t="shared" ca="1" si="0"/>
        <v>723.48500000000001</v>
      </c>
      <c r="U8" s="3">
        <f t="shared" ca="1" si="0"/>
        <v>723.46500000000003</v>
      </c>
      <c r="W8" s="3">
        <f t="shared" ca="1" si="3"/>
        <v>723.32139999999993</v>
      </c>
      <c r="Y8" s="3">
        <f ca="1">Total!E8</f>
        <v>722.92</v>
      </c>
      <c r="AB8" s="3">
        <f t="shared" ca="1" si="1"/>
        <v>8.1613456537380608E-4</v>
      </c>
      <c r="AC8" s="3">
        <f t="shared" ca="1" si="1"/>
        <v>4.9244729707297432E-4</v>
      </c>
      <c r="AD8" s="3">
        <f t="shared" ca="1" si="1"/>
        <v>6.5014109445063727E-5</v>
      </c>
      <c r="AE8" s="3">
        <f t="shared" ca="1" si="1"/>
        <v>8.2858407569308694E-4</v>
      </c>
      <c r="AF8" s="3">
        <f t="shared" ca="1" si="1"/>
        <v>9.1158081115474997E-4</v>
      </c>
      <c r="AG8" s="3">
        <f t="shared" ca="1" si="1"/>
        <v>6.2247551596404527E-5</v>
      </c>
      <c r="AH8" s="3">
        <f t="shared" ca="1" si="1"/>
        <v>1.5769379737734846E-4</v>
      </c>
      <c r="AI8" s="3">
        <f t="shared" ca="1" si="1"/>
        <v>6.8333978863501941E-4</v>
      </c>
      <c r="AJ8" s="3">
        <f t="shared" ca="1" si="1"/>
        <v>7.8155259226477978E-4</v>
      </c>
      <c r="AK8" s="3">
        <f t="shared" ca="1" si="1"/>
        <v>7.5388701377755881E-4</v>
      </c>
      <c r="AM8" s="3">
        <f t="shared" ca="1" si="4"/>
        <v>5.5524816023907915E-3</v>
      </c>
    </row>
    <row r="9" spans="1:39" x14ac:dyDescent="0.25">
      <c r="A9" s="3" t="s">
        <v>2</v>
      </c>
      <c r="B9" s="3">
        <v>24</v>
      </c>
      <c r="C9" s="3">
        <v>1</v>
      </c>
      <c r="D9" s="3">
        <v>55980.023999999998</v>
      </c>
      <c r="E9" s="3">
        <v>1.24</v>
      </c>
      <c r="F9" s="3">
        <v>175</v>
      </c>
      <c r="H9" s="3" t="s">
        <v>0</v>
      </c>
      <c r="I9" s="3">
        <v>50</v>
      </c>
      <c r="J9" s="3">
        <v>1</v>
      </c>
      <c r="L9" s="3">
        <f t="shared" ca="1" si="2"/>
        <v>1572.9269999999999</v>
      </c>
      <c r="M9" s="3">
        <f t="shared" ca="1" si="0"/>
        <v>1572.654</v>
      </c>
      <c r="N9" s="3">
        <f t="shared" ca="1" si="0"/>
        <v>1572.2239999999999</v>
      </c>
      <c r="O9" s="3">
        <f t="shared" ca="1" si="0"/>
        <v>1572.5989999999999</v>
      </c>
      <c r="P9" s="3">
        <f t="shared" ca="1" si="0"/>
        <v>1572.4</v>
      </c>
      <c r="Q9" s="3">
        <f t="shared" ca="1" si="0"/>
        <v>1572.16</v>
      </c>
      <c r="R9" s="3">
        <f t="shared" ca="1" si="0"/>
        <v>1572.2829999999999</v>
      </c>
      <c r="S9" s="3">
        <f t="shared" ca="1" si="0"/>
        <v>1571.932</v>
      </c>
      <c r="T9" s="3">
        <f t="shared" ca="1" si="0"/>
        <v>1572.058</v>
      </c>
      <c r="U9" s="3">
        <f t="shared" ca="1" si="0"/>
        <v>1572.2850000000001</v>
      </c>
      <c r="W9" s="3">
        <f t="shared" ca="1" si="3"/>
        <v>1572.3522</v>
      </c>
      <c r="Y9" s="3">
        <f ca="1">Total!E9</f>
        <v>1570.17</v>
      </c>
      <c r="AB9" s="3">
        <f t="shared" ca="1" si="1"/>
        <v>1.7558608303558433E-3</v>
      </c>
      <c r="AC9" s="3">
        <f t="shared" ca="1" si="1"/>
        <v>1.5819943063489453E-3</v>
      </c>
      <c r="AD9" s="3">
        <f t="shared" ca="1" si="1"/>
        <v>1.3081386091950934E-3</v>
      </c>
      <c r="AE9" s="3">
        <f t="shared" ca="1" si="1"/>
        <v>1.5469662520617893E-3</v>
      </c>
      <c r="AF9" s="3">
        <f t="shared" ca="1" si="1"/>
        <v>1.4202283829139635E-3</v>
      </c>
      <c r="AG9" s="3">
        <f t="shared" ca="1" si="1"/>
        <v>1.2673786914792723E-3</v>
      </c>
      <c r="AH9" s="3">
        <f t="shared" ca="1" si="1"/>
        <v>1.3457141583394338E-3</v>
      </c>
      <c r="AI9" s="3">
        <f t="shared" ca="1" si="1"/>
        <v>1.1221714846162795E-3</v>
      </c>
      <c r="AJ9" s="3">
        <f t="shared" ca="1" si="1"/>
        <v>1.2024175726194743E-3</v>
      </c>
      <c r="AK9" s="3">
        <f t="shared" ca="1" si="1"/>
        <v>1.346987905768171E-3</v>
      </c>
      <c r="AM9" s="3">
        <f t="shared" ca="1" si="4"/>
        <v>1.3897858193698267E-2</v>
      </c>
    </row>
    <row r="10" spans="1:39" x14ac:dyDescent="0.25">
      <c r="A10" s="3" t="s">
        <v>2</v>
      </c>
      <c r="B10" s="3">
        <v>24</v>
      </c>
      <c r="C10" s="3">
        <v>1</v>
      </c>
      <c r="D10" s="3">
        <v>55977.067000000003</v>
      </c>
      <c r="E10" s="3">
        <v>1.2370000000000001</v>
      </c>
      <c r="F10" s="3">
        <v>176</v>
      </c>
      <c r="H10" s="3" t="s">
        <v>28</v>
      </c>
      <c r="I10" s="3">
        <v>100</v>
      </c>
      <c r="J10" s="3">
        <v>1</v>
      </c>
      <c r="L10" s="3">
        <f t="shared" ca="1" si="2"/>
        <v>3302.873</v>
      </c>
      <c r="M10" s="3">
        <f t="shared" ca="1" si="0"/>
        <v>3290.5340000000001</v>
      </c>
      <c r="N10" s="3">
        <f t="shared" ca="1" si="0"/>
        <v>3297.6889999999999</v>
      </c>
      <c r="O10" s="3">
        <f t="shared" ca="1" si="0"/>
        <v>3292.085</v>
      </c>
      <c r="P10" s="3">
        <f t="shared" ca="1" si="0"/>
        <v>3292.7040000000002</v>
      </c>
      <c r="Q10" s="3">
        <f t="shared" ca="1" si="0"/>
        <v>3293.4209999999998</v>
      </c>
      <c r="R10" s="3">
        <f t="shared" ca="1" si="0"/>
        <v>3291.7310000000002</v>
      </c>
      <c r="S10" s="3">
        <f t="shared" ca="1" si="0"/>
        <v>3298.3359999999998</v>
      </c>
      <c r="T10" s="3">
        <f t="shared" ca="1" si="0"/>
        <v>3293.643</v>
      </c>
      <c r="U10" s="3">
        <f t="shared" ca="1" si="0"/>
        <v>3296.2759999999998</v>
      </c>
      <c r="W10" s="3">
        <f t="shared" ca="1" si="3"/>
        <v>3294.9292</v>
      </c>
      <c r="Y10" s="3">
        <f ca="1">Total!E10</f>
        <v>3290.5340000000001</v>
      </c>
      <c r="AB10" s="3">
        <f t="shared" ca="1" si="1"/>
        <v>3.749847289224163E-3</v>
      </c>
      <c r="AC10" s="3">
        <f t="shared" ca="1" si="1"/>
        <v>0</v>
      </c>
      <c r="AD10" s="3">
        <f t="shared" ca="1" si="1"/>
        <v>2.174419106442828E-3</v>
      </c>
      <c r="AE10" s="3">
        <f t="shared" ca="1" si="1"/>
        <v>4.713520662603489E-4</v>
      </c>
      <c r="AF10" s="3">
        <f t="shared" ca="1" si="1"/>
        <v>6.5946742990653578E-4</v>
      </c>
      <c r="AG10" s="3">
        <f t="shared" ca="1" si="1"/>
        <v>8.7736519361286528E-4</v>
      </c>
      <c r="AH10" s="3">
        <f t="shared" ca="1" si="1"/>
        <v>3.6377074359362837E-4</v>
      </c>
      <c r="AI10" s="3">
        <f t="shared" ca="1" si="1"/>
        <v>2.3710437272490359E-3</v>
      </c>
      <c r="AJ10" s="3">
        <f t="shared" ca="1" si="1"/>
        <v>9.4483144681073753E-4</v>
      </c>
      <c r="AK10" s="3">
        <f t="shared" ca="1" si="1"/>
        <v>1.7450055219000121E-3</v>
      </c>
      <c r="AM10" s="3">
        <f t="shared" ca="1" si="4"/>
        <v>1.3357102525000155E-2</v>
      </c>
    </row>
    <row r="11" spans="1:39" x14ac:dyDescent="0.25">
      <c r="A11" s="3" t="s">
        <v>2</v>
      </c>
      <c r="B11" s="3">
        <v>47</v>
      </c>
      <c r="C11" s="3">
        <v>1</v>
      </c>
      <c r="D11" s="3">
        <v>126254.65300000001</v>
      </c>
      <c r="E11" s="3">
        <v>4.157</v>
      </c>
      <c r="F11" s="3">
        <v>168</v>
      </c>
    </row>
    <row r="12" spans="1:39" x14ac:dyDescent="0.25">
      <c r="A12" s="3" t="s">
        <v>2</v>
      </c>
      <c r="B12" s="3">
        <v>47</v>
      </c>
      <c r="C12" s="3">
        <v>1</v>
      </c>
      <c r="D12" s="3">
        <v>126500.443</v>
      </c>
      <c r="E12" s="3">
        <v>4.1399999999999997</v>
      </c>
      <c r="F12" s="3">
        <v>171</v>
      </c>
    </row>
    <row r="13" spans="1:39" x14ac:dyDescent="0.25">
      <c r="A13" s="3" t="s">
        <v>2</v>
      </c>
      <c r="B13" s="3">
        <v>47</v>
      </c>
      <c r="C13" s="3">
        <v>1</v>
      </c>
      <c r="D13" s="3">
        <v>126414.905</v>
      </c>
      <c r="E13" s="3">
        <v>4.1550000000000002</v>
      </c>
      <c r="F13" s="3">
        <v>172</v>
      </c>
    </row>
    <row r="14" spans="1:39" x14ac:dyDescent="0.25">
      <c r="A14" s="3" t="s">
        <v>2</v>
      </c>
      <c r="B14" s="3">
        <v>47</v>
      </c>
      <c r="C14" s="3">
        <v>1</v>
      </c>
      <c r="D14" s="3">
        <v>126339.86500000001</v>
      </c>
      <c r="E14" s="3">
        <v>4.1449999999999996</v>
      </c>
      <c r="F14" s="3">
        <v>178</v>
      </c>
    </row>
    <row r="15" spans="1:39" x14ac:dyDescent="0.25">
      <c r="A15" s="3" t="s">
        <v>2</v>
      </c>
      <c r="B15" s="3">
        <v>47</v>
      </c>
      <c r="C15" s="3">
        <v>1</v>
      </c>
      <c r="D15" s="3">
        <v>126247.12</v>
      </c>
      <c r="E15" s="3">
        <v>4.1429999999999998</v>
      </c>
      <c r="F15" s="3">
        <v>168</v>
      </c>
    </row>
    <row r="16" spans="1:39" x14ac:dyDescent="0.25">
      <c r="A16" s="3" t="s">
        <v>2</v>
      </c>
      <c r="B16" s="3">
        <v>47</v>
      </c>
      <c r="C16" s="3">
        <v>1</v>
      </c>
      <c r="D16" s="3">
        <v>126238.501</v>
      </c>
      <c r="E16" s="3">
        <v>4.1420000000000003</v>
      </c>
      <c r="F16" s="3">
        <v>178</v>
      </c>
    </row>
    <row r="17" spans="1:6" x14ac:dyDescent="0.25">
      <c r="A17" s="3" t="s">
        <v>2</v>
      </c>
      <c r="B17" s="3">
        <v>47</v>
      </c>
      <c r="C17" s="3">
        <v>1</v>
      </c>
      <c r="D17" s="3">
        <v>126128.33100000001</v>
      </c>
      <c r="E17" s="3">
        <v>4.1479999999999997</v>
      </c>
      <c r="F17" s="3">
        <v>169</v>
      </c>
    </row>
    <row r="18" spans="1:6" x14ac:dyDescent="0.25">
      <c r="A18" s="3" t="s">
        <v>2</v>
      </c>
      <c r="B18" s="3">
        <v>47</v>
      </c>
      <c r="C18" s="3">
        <v>1</v>
      </c>
      <c r="D18" s="3">
        <v>126239.959</v>
      </c>
      <c r="E18" s="3">
        <v>4.1470000000000002</v>
      </c>
      <c r="F18" s="3">
        <v>170</v>
      </c>
    </row>
    <row r="19" spans="1:6" x14ac:dyDescent="0.25">
      <c r="A19" s="3" t="s">
        <v>2</v>
      </c>
      <c r="B19" s="3">
        <v>47</v>
      </c>
      <c r="C19" s="3">
        <v>1</v>
      </c>
      <c r="D19" s="3">
        <v>126223.552</v>
      </c>
      <c r="E19" s="3">
        <v>4.1500000000000004</v>
      </c>
      <c r="F19" s="3">
        <v>171</v>
      </c>
    </row>
    <row r="20" spans="1:6" x14ac:dyDescent="0.25">
      <c r="A20" s="3" t="s">
        <v>2</v>
      </c>
      <c r="B20" s="3">
        <v>47</v>
      </c>
      <c r="C20" s="3">
        <v>1</v>
      </c>
      <c r="D20" s="3">
        <v>126216.098</v>
      </c>
      <c r="E20" s="3">
        <v>4.1449999999999996</v>
      </c>
      <c r="F20" s="3">
        <v>172</v>
      </c>
    </row>
    <row r="21" spans="1:6" x14ac:dyDescent="0.25">
      <c r="A21" s="3" t="s">
        <v>2</v>
      </c>
      <c r="B21" s="3">
        <v>100</v>
      </c>
      <c r="C21" s="3">
        <v>1</v>
      </c>
      <c r="D21" s="3">
        <v>1217633.17</v>
      </c>
      <c r="E21" s="3">
        <v>22.111999999999998</v>
      </c>
      <c r="F21" s="3">
        <v>193</v>
      </c>
    </row>
    <row r="22" spans="1:6" x14ac:dyDescent="0.25">
      <c r="A22" s="3" t="s">
        <v>2</v>
      </c>
      <c r="B22" s="3">
        <v>100</v>
      </c>
      <c r="C22" s="3">
        <v>1</v>
      </c>
      <c r="D22" s="3">
        <v>1216908.8459999999</v>
      </c>
      <c r="E22" s="3">
        <v>22.11</v>
      </c>
      <c r="F22" s="3">
        <v>196</v>
      </c>
    </row>
    <row r="23" spans="1:6" x14ac:dyDescent="0.25">
      <c r="A23" s="3" t="s">
        <v>2</v>
      </c>
      <c r="B23" s="3">
        <v>100</v>
      </c>
      <c r="C23" s="3">
        <v>1</v>
      </c>
      <c r="D23" s="3">
        <v>1216761.76</v>
      </c>
      <c r="E23" s="3">
        <v>22.138000000000002</v>
      </c>
      <c r="F23" s="3">
        <v>196</v>
      </c>
    </row>
    <row r="24" spans="1:6" x14ac:dyDescent="0.25">
      <c r="A24" s="3" t="s">
        <v>2</v>
      </c>
      <c r="B24" s="3">
        <v>100</v>
      </c>
      <c r="C24" s="3">
        <v>1</v>
      </c>
      <c r="D24" s="3">
        <v>1217297.7420000001</v>
      </c>
      <c r="E24" s="3">
        <v>22.064</v>
      </c>
      <c r="F24" s="3">
        <v>192</v>
      </c>
    </row>
    <row r="25" spans="1:6" x14ac:dyDescent="0.25">
      <c r="A25" s="3" t="s">
        <v>2</v>
      </c>
      <c r="B25" s="3">
        <v>100</v>
      </c>
      <c r="C25" s="3">
        <v>1</v>
      </c>
      <c r="D25" s="3">
        <v>1216842.2819999999</v>
      </c>
      <c r="E25" s="3">
        <v>22.074000000000002</v>
      </c>
      <c r="F25" s="3">
        <v>193</v>
      </c>
    </row>
    <row r="26" spans="1:6" x14ac:dyDescent="0.25">
      <c r="A26" s="3" t="s">
        <v>2</v>
      </c>
      <c r="B26" s="3">
        <v>100</v>
      </c>
      <c r="C26" s="3">
        <v>1</v>
      </c>
      <c r="D26" s="3">
        <v>1217113.54</v>
      </c>
      <c r="E26" s="3">
        <v>22.094000000000001</v>
      </c>
      <c r="F26" s="3">
        <v>194</v>
      </c>
    </row>
    <row r="27" spans="1:6" x14ac:dyDescent="0.25">
      <c r="A27" s="3" t="s">
        <v>2</v>
      </c>
      <c r="B27" s="3">
        <v>100</v>
      </c>
      <c r="C27" s="3">
        <v>1</v>
      </c>
      <c r="D27" s="3">
        <v>1216649.9450000001</v>
      </c>
      <c r="E27" s="3">
        <v>22.073</v>
      </c>
      <c r="F27" s="3">
        <v>198</v>
      </c>
    </row>
    <row r="28" spans="1:6" x14ac:dyDescent="0.25">
      <c r="A28" s="3" t="s">
        <v>2</v>
      </c>
      <c r="B28" s="3">
        <v>100</v>
      </c>
      <c r="C28" s="3">
        <v>1</v>
      </c>
      <c r="D28" s="3">
        <v>1217272.8370000001</v>
      </c>
      <c r="E28" s="3">
        <v>22.131</v>
      </c>
      <c r="F28" s="3">
        <v>195</v>
      </c>
    </row>
    <row r="29" spans="1:6" x14ac:dyDescent="0.25">
      <c r="A29" s="3" t="s">
        <v>2</v>
      </c>
      <c r="B29" s="3">
        <v>100</v>
      </c>
      <c r="C29" s="3">
        <v>1</v>
      </c>
      <c r="D29" s="3">
        <v>1216827.9469999999</v>
      </c>
      <c r="E29" s="3">
        <v>22.13</v>
      </c>
      <c r="F29" s="3">
        <v>195</v>
      </c>
    </row>
    <row r="30" spans="1:6" x14ac:dyDescent="0.25">
      <c r="A30" s="3" t="s">
        <v>2</v>
      </c>
      <c r="B30" s="3">
        <v>100</v>
      </c>
      <c r="C30" s="3">
        <v>1</v>
      </c>
      <c r="D30" s="3">
        <v>1217054.307</v>
      </c>
      <c r="E30" s="3">
        <v>22.091000000000001</v>
      </c>
      <c r="F30" s="3">
        <v>192</v>
      </c>
    </row>
    <row r="31" spans="1:6" x14ac:dyDescent="0.25">
      <c r="A31" s="3" t="s">
        <v>1</v>
      </c>
      <c r="B31" s="3">
        <v>30</v>
      </c>
      <c r="C31" s="3">
        <v>1</v>
      </c>
      <c r="D31" s="3">
        <v>20031.777999999998</v>
      </c>
      <c r="E31" s="3">
        <v>1.3520000000000001</v>
      </c>
      <c r="F31" s="3">
        <v>112</v>
      </c>
    </row>
    <row r="32" spans="1:6" x14ac:dyDescent="0.25">
      <c r="A32" s="3" t="s">
        <v>1</v>
      </c>
      <c r="B32" s="3">
        <v>30</v>
      </c>
      <c r="C32" s="3">
        <v>1</v>
      </c>
      <c r="D32" s="3">
        <v>20026.43</v>
      </c>
      <c r="E32" s="3">
        <v>1.349</v>
      </c>
      <c r="F32" s="3">
        <v>114</v>
      </c>
    </row>
    <row r="33" spans="1:6" x14ac:dyDescent="0.25">
      <c r="A33" s="3" t="s">
        <v>1</v>
      </c>
      <c r="B33" s="3">
        <v>30</v>
      </c>
      <c r="C33" s="3">
        <v>1</v>
      </c>
      <c r="D33" s="3">
        <v>20026.231</v>
      </c>
      <c r="E33" s="3">
        <v>1.3779999999999999</v>
      </c>
      <c r="F33" s="3">
        <v>118</v>
      </c>
    </row>
    <row r="34" spans="1:6" x14ac:dyDescent="0.25">
      <c r="A34" s="3" t="s">
        <v>1</v>
      </c>
      <c r="B34" s="3">
        <v>30</v>
      </c>
      <c r="C34" s="3">
        <v>1</v>
      </c>
      <c r="D34" s="3">
        <v>20010.359</v>
      </c>
      <c r="E34" s="3">
        <v>1.349</v>
      </c>
      <c r="F34" s="3">
        <v>128</v>
      </c>
    </row>
    <row r="35" spans="1:6" x14ac:dyDescent="0.25">
      <c r="A35" s="3" t="s">
        <v>1</v>
      </c>
      <c r="B35" s="3">
        <v>30</v>
      </c>
      <c r="C35" s="3">
        <v>1</v>
      </c>
      <c r="D35" s="3">
        <v>20015.293000000001</v>
      </c>
      <c r="E35" s="3">
        <v>1.3540000000000001</v>
      </c>
      <c r="F35" s="3">
        <v>118</v>
      </c>
    </row>
    <row r="36" spans="1:6" x14ac:dyDescent="0.25">
      <c r="A36" s="3" t="s">
        <v>1</v>
      </c>
      <c r="B36" s="3">
        <v>30</v>
      </c>
      <c r="C36" s="3">
        <v>1</v>
      </c>
      <c r="D36" s="3">
        <v>20002.998</v>
      </c>
      <c r="E36" s="3">
        <v>1.349</v>
      </c>
      <c r="F36" s="3">
        <v>120</v>
      </c>
    </row>
    <row r="37" spans="1:6" x14ac:dyDescent="0.25">
      <c r="A37" s="3" t="s">
        <v>1</v>
      </c>
      <c r="B37" s="3">
        <v>30</v>
      </c>
      <c r="C37" s="3">
        <v>1</v>
      </c>
      <c r="D37" s="3">
        <v>20016.481</v>
      </c>
      <c r="E37" s="3">
        <v>1.347</v>
      </c>
      <c r="F37" s="3">
        <v>126</v>
      </c>
    </row>
    <row r="38" spans="1:6" x14ac:dyDescent="0.25">
      <c r="A38" s="3" t="s">
        <v>1</v>
      </c>
      <c r="B38" s="3">
        <v>30</v>
      </c>
      <c r="C38" s="3">
        <v>1</v>
      </c>
      <c r="D38" s="3">
        <v>20004.157999999999</v>
      </c>
      <c r="E38" s="3">
        <v>1.3520000000000001</v>
      </c>
      <c r="F38" s="3">
        <v>119</v>
      </c>
    </row>
    <row r="39" spans="1:6" x14ac:dyDescent="0.25">
      <c r="A39" s="3" t="s">
        <v>1</v>
      </c>
      <c r="B39" s="3">
        <v>30</v>
      </c>
      <c r="C39" s="3">
        <v>1</v>
      </c>
      <c r="D39" s="3">
        <v>20039.585999999999</v>
      </c>
      <c r="E39" s="3">
        <v>1.3540000000000001</v>
      </c>
      <c r="F39" s="3">
        <v>108</v>
      </c>
    </row>
    <row r="40" spans="1:6" x14ac:dyDescent="0.25">
      <c r="A40" s="3" t="s">
        <v>1</v>
      </c>
      <c r="B40" s="3">
        <v>30</v>
      </c>
      <c r="C40" s="3">
        <v>1</v>
      </c>
      <c r="D40" s="3">
        <v>20035.433000000001</v>
      </c>
      <c r="E40" s="3">
        <v>1.353</v>
      </c>
      <c r="F40" s="3">
        <v>129</v>
      </c>
    </row>
    <row r="41" spans="1:6" x14ac:dyDescent="0.25">
      <c r="A41" s="3" t="s">
        <v>1</v>
      </c>
      <c r="B41" s="3">
        <v>50</v>
      </c>
      <c r="C41" s="3">
        <v>1</v>
      </c>
      <c r="D41" s="3">
        <v>35411.995999999999</v>
      </c>
      <c r="E41" s="3">
        <v>3.0510000000000002</v>
      </c>
      <c r="F41" s="3">
        <v>111</v>
      </c>
    </row>
    <row r="42" spans="1:6" x14ac:dyDescent="0.25">
      <c r="A42" s="3" t="s">
        <v>1</v>
      </c>
      <c r="B42" s="3">
        <v>50</v>
      </c>
      <c r="C42" s="3">
        <v>1</v>
      </c>
      <c r="D42" s="3">
        <v>35436.273000000001</v>
      </c>
      <c r="E42" s="3">
        <v>3.0369999999999999</v>
      </c>
      <c r="F42" s="3">
        <v>109</v>
      </c>
    </row>
    <row r="43" spans="1:6" x14ac:dyDescent="0.25">
      <c r="A43" s="3" t="s">
        <v>1</v>
      </c>
      <c r="B43" s="3">
        <v>50</v>
      </c>
      <c r="C43" s="3">
        <v>1</v>
      </c>
      <c r="D43" s="3">
        <v>35375.284</v>
      </c>
      <c r="E43" s="3">
        <v>3.05</v>
      </c>
      <c r="F43" s="3">
        <v>109</v>
      </c>
    </row>
    <row r="44" spans="1:6" x14ac:dyDescent="0.25">
      <c r="A44" s="3" t="s">
        <v>1</v>
      </c>
      <c r="B44" s="3">
        <v>50</v>
      </c>
      <c r="C44" s="3">
        <v>1</v>
      </c>
      <c r="D44" s="3">
        <v>35420.951000000001</v>
      </c>
      <c r="E44" s="3">
        <v>3.044</v>
      </c>
      <c r="F44" s="3">
        <v>107</v>
      </c>
    </row>
    <row r="45" spans="1:6" x14ac:dyDescent="0.25">
      <c r="A45" s="3" t="s">
        <v>1</v>
      </c>
      <c r="B45" s="3">
        <v>50</v>
      </c>
      <c r="C45" s="3">
        <v>1</v>
      </c>
      <c r="D45" s="3">
        <v>35315.639000000003</v>
      </c>
      <c r="E45" s="3">
        <v>3.0390000000000001</v>
      </c>
      <c r="F45" s="3">
        <v>110</v>
      </c>
    </row>
    <row r="46" spans="1:6" x14ac:dyDescent="0.25">
      <c r="A46" s="3" t="s">
        <v>1</v>
      </c>
      <c r="B46" s="3">
        <v>50</v>
      </c>
      <c r="C46" s="3">
        <v>1</v>
      </c>
      <c r="D46" s="3">
        <v>35375.64</v>
      </c>
      <c r="E46" s="3">
        <v>3.0379999999999998</v>
      </c>
      <c r="F46" s="3">
        <v>109</v>
      </c>
    </row>
    <row r="47" spans="1:6" x14ac:dyDescent="0.25">
      <c r="A47" s="3" t="s">
        <v>1</v>
      </c>
      <c r="B47" s="3">
        <v>50</v>
      </c>
      <c r="C47" s="3">
        <v>1</v>
      </c>
      <c r="D47" s="3">
        <v>35401.644999999997</v>
      </c>
      <c r="E47" s="3">
        <v>3.0489999999999999</v>
      </c>
      <c r="F47" s="3">
        <v>107</v>
      </c>
    </row>
    <row r="48" spans="1:6" x14ac:dyDescent="0.25">
      <c r="A48" s="3" t="s">
        <v>1</v>
      </c>
      <c r="B48" s="3">
        <v>50</v>
      </c>
      <c r="C48" s="3">
        <v>1</v>
      </c>
      <c r="D48" s="3">
        <v>35383.076999999997</v>
      </c>
      <c r="E48" s="3">
        <v>3.05</v>
      </c>
      <c r="F48" s="3">
        <v>109</v>
      </c>
    </row>
    <row r="49" spans="1:6" x14ac:dyDescent="0.25">
      <c r="A49" s="3" t="s">
        <v>1</v>
      </c>
      <c r="B49" s="3">
        <v>50</v>
      </c>
      <c r="C49" s="3">
        <v>1</v>
      </c>
      <c r="D49" s="3">
        <v>35415.828999999998</v>
      </c>
      <c r="E49" s="3">
        <v>3.0470000000000002</v>
      </c>
      <c r="F49" s="3">
        <v>108</v>
      </c>
    </row>
    <row r="50" spans="1:6" x14ac:dyDescent="0.25">
      <c r="A50" s="3" t="s">
        <v>1</v>
      </c>
      <c r="B50" s="3">
        <v>50</v>
      </c>
      <c r="C50" s="3">
        <v>1</v>
      </c>
      <c r="D50" s="3">
        <v>35423.614000000001</v>
      </c>
      <c r="E50" s="3">
        <v>3.0350000000000001</v>
      </c>
      <c r="F50" s="3">
        <v>108</v>
      </c>
    </row>
    <row r="51" spans="1:6" x14ac:dyDescent="0.25">
      <c r="A51" s="3" t="s">
        <v>1</v>
      </c>
      <c r="B51" s="3">
        <v>100</v>
      </c>
      <c r="C51" s="3">
        <v>1</v>
      </c>
      <c r="D51" s="3">
        <v>63157.913999999997</v>
      </c>
      <c r="E51" s="3">
        <v>11.68</v>
      </c>
      <c r="F51" s="3">
        <v>106</v>
      </c>
    </row>
    <row r="52" spans="1:6" x14ac:dyDescent="0.25">
      <c r="A52" s="3" t="s">
        <v>1</v>
      </c>
      <c r="B52" s="3">
        <v>100</v>
      </c>
      <c r="C52" s="3">
        <v>1</v>
      </c>
      <c r="D52" s="3">
        <v>63137.690999999999</v>
      </c>
      <c r="E52" s="3">
        <v>11.707000000000001</v>
      </c>
      <c r="F52" s="3">
        <v>106</v>
      </c>
    </row>
    <row r="53" spans="1:6" x14ac:dyDescent="0.25">
      <c r="A53" s="3" t="s">
        <v>1</v>
      </c>
      <c r="B53" s="3">
        <v>100</v>
      </c>
      <c r="C53" s="3">
        <v>1</v>
      </c>
      <c r="D53" s="3">
        <v>63113.273999999998</v>
      </c>
      <c r="E53" s="3">
        <v>11.695</v>
      </c>
      <c r="F53" s="3">
        <v>105</v>
      </c>
    </row>
    <row r="54" spans="1:6" x14ac:dyDescent="0.25">
      <c r="A54" s="3" t="s">
        <v>1</v>
      </c>
      <c r="B54" s="3">
        <v>100</v>
      </c>
      <c r="C54" s="3">
        <v>1</v>
      </c>
      <c r="D54" s="3">
        <v>63197.154000000002</v>
      </c>
      <c r="E54" s="3">
        <v>11.714</v>
      </c>
      <c r="F54" s="3">
        <v>106</v>
      </c>
    </row>
    <row r="55" spans="1:6" x14ac:dyDescent="0.25">
      <c r="A55" s="3" t="s">
        <v>1</v>
      </c>
      <c r="B55" s="3">
        <v>100</v>
      </c>
      <c r="C55" s="3">
        <v>1</v>
      </c>
      <c r="D55" s="3">
        <v>63092.267999999996</v>
      </c>
      <c r="E55" s="3">
        <v>11.676</v>
      </c>
      <c r="F55" s="3">
        <v>106</v>
      </c>
    </row>
    <row r="56" spans="1:6" x14ac:dyDescent="0.25">
      <c r="A56" s="3" t="s">
        <v>1</v>
      </c>
      <c r="B56" s="3">
        <v>100</v>
      </c>
      <c r="C56" s="3">
        <v>1</v>
      </c>
      <c r="D56" s="3">
        <v>63236.606</v>
      </c>
      <c r="E56" s="3">
        <v>11.704000000000001</v>
      </c>
      <c r="F56" s="3">
        <v>106</v>
      </c>
    </row>
    <row r="57" spans="1:6" x14ac:dyDescent="0.25">
      <c r="A57" s="3" t="s">
        <v>1</v>
      </c>
      <c r="B57" s="3">
        <v>100</v>
      </c>
      <c r="C57" s="3">
        <v>1</v>
      </c>
      <c r="D57" s="3">
        <v>63106.669000000002</v>
      </c>
      <c r="E57" s="3">
        <v>11.675000000000001</v>
      </c>
      <c r="F57" s="3">
        <v>105</v>
      </c>
    </row>
    <row r="58" spans="1:6" x14ac:dyDescent="0.25">
      <c r="A58" s="3" t="s">
        <v>1</v>
      </c>
      <c r="B58" s="3">
        <v>100</v>
      </c>
      <c r="C58" s="3">
        <v>1</v>
      </c>
      <c r="D58" s="3">
        <v>63189.779000000002</v>
      </c>
      <c r="E58" s="3">
        <v>11.733000000000001</v>
      </c>
      <c r="F58" s="3">
        <v>107</v>
      </c>
    </row>
    <row r="59" spans="1:6" x14ac:dyDescent="0.25">
      <c r="A59" s="3" t="s">
        <v>1</v>
      </c>
      <c r="B59" s="3">
        <v>100</v>
      </c>
      <c r="C59" s="3">
        <v>1</v>
      </c>
      <c r="D59" s="3">
        <v>63119.917999999998</v>
      </c>
      <c r="E59" s="3">
        <v>11.677</v>
      </c>
      <c r="F59" s="3">
        <v>104</v>
      </c>
    </row>
    <row r="60" spans="1:6" x14ac:dyDescent="0.25">
      <c r="A60" s="3" t="s">
        <v>1</v>
      </c>
      <c r="B60" s="3">
        <v>100</v>
      </c>
      <c r="C60" s="3">
        <v>1</v>
      </c>
      <c r="D60" s="3">
        <v>63099.68</v>
      </c>
      <c r="E60" s="3">
        <v>11.685</v>
      </c>
      <c r="F60" s="3">
        <v>108</v>
      </c>
    </row>
    <row r="61" spans="1:6" x14ac:dyDescent="0.25">
      <c r="A61" s="3" t="s">
        <v>0</v>
      </c>
      <c r="B61" s="3">
        <v>25</v>
      </c>
      <c r="C61" s="3">
        <v>1</v>
      </c>
      <c r="D61" s="3">
        <v>723.51</v>
      </c>
      <c r="E61" s="3">
        <v>0.90600000000000003</v>
      </c>
      <c r="F61" s="3">
        <v>104</v>
      </c>
    </row>
    <row r="62" spans="1:6" x14ac:dyDescent="0.25">
      <c r="A62" s="3" t="s">
        <v>0</v>
      </c>
      <c r="B62" s="3">
        <v>25</v>
      </c>
      <c r="C62" s="3">
        <v>1</v>
      </c>
      <c r="D62" s="3">
        <v>723.27599999999995</v>
      </c>
      <c r="E62" s="3">
        <v>0.90500000000000003</v>
      </c>
      <c r="F62" s="3">
        <v>113</v>
      </c>
    </row>
    <row r="63" spans="1:6" x14ac:dyDescent="0.25">
      <c r="A63" s="3" t="s">
        <v>0</v>
      </c>
      <c r="B63" s="3">
        <v>25</v>
      </c>
      <c r="C63" s="3">
        <v>1</v>
      </c>
      <c r="D63" s="3">
        <v>722.96699999999998</v>
      </c>
      <c r="E63" s="3">
        <v>0.90700000000000003</v>
      </c>
      <c r="F63" s="3">
        <v>108</v>
      </c>
    </row>
    <row r="64" spans="1:6" x14ac:dyDescent="0.25">
      <c r="A64" s="3" t="s">
        <v>0</v>
      </c>
      <c r="B64" s="3">
        <v>25</v>
      </c>
      <c r="C64" s="3">
        <v>1</v>
      </c>
      <c r="D64" s="3">
        <v>723.51900000000001</v>
      </c>
      <c r="E64" s="3">
        <v>0.90600000000000003</v>
      </c>
      <c r="F64" s="3">
        <v>113</v>
      </c>
    </row>
    <row r="65" spans="1:6" x14ac:dyDescent="0.25">
      <c r="A65" s="3" t="s">
        <v>0</v>
      </c>
      <c r="B65" s="3">
        <v>25</v>
      </c>
      <c r="C65" s="3">
        <v>1</v>
      </c>
      <c r="D65" s="3">
        <v>723.57899999999995</v>
      </c>
      <c r="E65" s="3">
        <v>0.90400000000000003</v>
      </c>
      <c r="F65" s="3">
        <v>99</v>
      </c>
    </row>
    <row r="66" spans="1:6" x14ac:dyDescent="0.25">
      <c r="A66" s="3" t="s">
        <v>0</v>
      </c>
      <c r="B66" s="3">
        <v>25</v>
      </c>
      <c r="C66" s="3">
        <v>1</v>
      </c>
      <c r="D66" s="3">
        <v>722.96500000000003</v>
      </c>
      <c r="E66" s="3">
        <v>0.90300000000000002</v>
      </c>
      <c r="F66" s="3">
        <v>113</v>
      </c>
    </row>
    <row r="67" spans="1:6" x14ac:dyDescent="0.25">
      <c r="A67" s="3" t="s">
        <v>0</v>
      </c>
      <c r="B67" s="3">
        <v>25</v>
      </c>
      <c r="C67" s="3">
        <v>1</v>
      </c>
      <c r="D67" s="3">
        <v>723.03399999999999</v>
      </c>
      <c r="E67" s="3">
        <v>0.90500000000000003</v>
      </c>
      <c r="F67" s="3">
        <v>104</v>
      </c>
    </row>
    <row r="68" spans="1:6" x14ac:dyDescent="0.25">
      <c r="A68" s="3" t="s">
        <v>0</v>
      </c>
      <c r="B68" s="3">
        <v>25</v>
      </c>
      <c r="C68" s="3">
        <v>1</v>
      </c>
      <c r="D68" s="3">
        <v>723.41399999999999</v>
      </c>
      <c r="E68" s="3">
        <v>0.90600000000000003</v>
      </c>
      <c r="F68" s="3">
        <v>119</v>
      </c>
    </row>
    <row r="69" spans="1:6" x14ac:dyDescent="0.25">
      <c r="A69" s="3" t="s">
        <v>0</v>
      </c>
      <c r="B69" s="3">
        <v>25</v>
      </c>
      <c r="C69" s="3">
        <v>1</v>
      </c>
      <c r="D69" s="3">
        <v>723.48500000000001</v>
      </c>
      <c r="E69" s="3">
        <v>0.90700000000000003</v>
      </c>
      <c r="F69" s="3">
        <v>88</v>
      </c>
    </row>
    <row r="70" spans="1:6" x14ac:dyDescent="0.25">
      <c r="A70" s="3" t="s">
        <v>0</v>
      </c>
      <c r="B70" s="3">
        <v>25</v>
      </c>
      <c r="C70" s="3">
        <v>1</v>
      </c>
      <c r="D70" s="3">
        <v>723.46500000000003</v>
      </c>
      <c r="E70" s="3">
        <v>0.90600000000000003</v>
      </c>
      <c r="F70" s="3">
        <v>111</v>
      </c>
    </row>
    <row r="71" spans="1:6" x14ac:dyDescent="0.25">
      <c r="A71" s="3" t="s">
        <v>0</v>
      </c>
      <c r="B71" s="3">
        <v>50</v>
      </c>
      <c r="C71" s="3">
        <v>1</v>
      </c>
      <c r="D71" s="3">
        <v>1572.9269999999999</v>
      </c>
      <c r="E71" s="3">
        <v>3.3730000000000002</v>
      </c>
      <c r="F71" s="3">
        <v>122</v>
      </c>
    </row>
    <row r="72" spans="1:6" x14ac:dyDescent="0.25">
      <c r="A72" s="3" t="s">
        <v>0</v>
      </c>
      <c r="B72" s="3">
        <v>50</v>
      </c>
      <c r="C72" s="3">
        <v>1</v>
      </c>
      <c r="D72" s="3">
        <v>1572.654</v>
      </c>
      <c r="E72" s="3">
        <v>3.3820000000000001</v>
      </c>
      <c r="F72" s="3">
        <v>120</v>
      </c>
    </row>
    <row r="73" spans="1:6" x14ac:dyDescent="0.25">
      <c r="A73" s="3" t="s">
        <v>0</v>
      </c>
      <c r="B73" s="3">
        <v>50</v>
      </c>
      <c r="C73" s="3">
        <v>1</v>
      </c>
      <c r="D73" s="3">
        <v>1572.2239999999999</v>
      </c>
      <c r="E73" s="3">
        <v>3.3839999999999999</v>
      </c>
      <c r="F73" s="3">
        <v>123</v>
      </c>
    </row>
    <row r="74" spans="1:6" x14ac:dyDescent="0.25">
      <c r="A74" s="3" t="s">
        <v>0</v>
      </c>
      <c r="B74" s="3">
        <v>50</v>
      </c>
      <c r="C74" s="3">
        <v>1</v>
      </c>
      <c r="D74" s="3">
        <v>1572.5989999999999</v>
      </c>
      <c r="E74" s="3">
        <v>3.379</v>
      </c>
      <c r="F74" s="3">
        <v>117</v>
      </c>
    </row>
    <row r="75" spans="1:6" x14ac:dyDescent="0.25">
      <c r="A75" s="3" t="s">
        <v>0</v>
      </c>
      <c r="B75" s="3">
        <v>50</v>
      </c>
      <c r="C75" s="3">
        <v>1</v>
      </c>
      <c r="D75" s="3">
        <v>1572.4</v>
      </c>
      <c r="E75" s="3">
        <v>3.3809999999999998</v>
      </c>
      <c r="F75" s="3">
        <v>123</v>
      </c>
    </row>
    <row r="76" spans="1:6" x14ac:dyDescent="0.25">
      <c r="A76" s="3" t="s">
        <v>0</v>
      </c>
      <c r="B76" s="3">
        <v>50</v>
      </c>
      <c r="C76" s="3">
        <v>1</v>
      </c>
      <c r="D76" s="3">
        <v>1572.16</v>
      </c>
      <c r="E76" s="3">
        <v>3.3809999999999998</v>
      </c>
      <c r="F76" s="3">
        <v>122</v>
      </c>
    </row>
    <row r="77" spans="1:6" x14ac:dyDescent="0.25">
      <c r="A77" s="3" t="s">
        <v>0</v>
      </c>
      <c r="B77" s="3">
        <v>50</v>
      </c>
      <c r="C77" s="3">
        <v>1</v>
      </c>
      <c r="D77" s="3">
        <v>1572.2829999999999</v>
      </c>
      <c r="E77" s="3">
        <v>3.3740000000000001</v>
      </c>
      <c r="F77" s="3">
        <v>124</v>
      </c>
    </row>
    <row r="78" spans="1:6" x14ac:dyDescent="0.25">
      <c r="A78" s="3" t="s">
        <v>0</v>
      </c>
      <c r="B78" s="3">
        <v>50</v>
      </c>
      <c r="C78" s="3">
        <v>1</v>
      </c>
      <c r="D78" s="3">
        <v>1571.932</v>
      </c>
      <c r="E78" s="3">
        <v>3.391</v>
      </c>
      <c r="F78" s="3">
        <v>122</v>
      </c>
    </row>
    <row r="79" spans="1:6" x14ac:dyDescent="0.25">
      <c r="A79" s="3" t="s">
        <v>0</v>
      </c>
      <c r="B79" s="3">
        <v>50</v>
      </c>
      <c r="C79" s="3">
        <v>1</v>
      </c>
      <c r="D79" s="3">
        <v>1572.058</v>
      </c>
      <c r="E79" s="3">
        <v>3.383</v>
      </c>
      <c r="F79" s="3">
        <v>120</v>
      </c>
    </row>
    <row r="80" spans="1:6" x14ac:dyDescent="0.25">
      <c r="A80" s="3" t="s">
        <v>0</v>
      </c>
      <c r="B80" s="3">
        <v>50</v>
      </c>
      <c r="C80" s="3">
        <v>1</v>
      </c>
      <c r="D80" s="3">
        <v>1572.2850000000001</v>
      </c>
      <c r="E80" s="3">
        <v>3.37</v>
      </c>
      <c r="F80" s="3">
        <v>121</v>
      </c>
    </row>
    <row r="81" spans="1:6" x14ac:dyDescent="0.25">
      <c r="A81" s="3" t="s">
        <v>0</v>
      </c>
      <c r="B81" s="3">
        <v>100</v>
      </c>
      <c r="C81" s="3">
        <v>1</v>
      </c>
      <c r="D81" s="3">
        <v>3302.873</v>
      </c>
      <c r="E81" s="3">
        <v>11.403</v>
      </c>
      <c r="F81" s="3">
        <v>104</v>
      </c>
    </row>
    <row r="82" spans="1:6" x14ac:dyDescent="0.25">
      <c r="A82" s="3" t="s">
        <v>0</v>
      </c>
      <c r="B82" s="3">
        <v>100</v>
      </c>
      <c r="C82" s="3">
        <v>1</v>
      </c>
      <c r="D82" s="3">
        <v>3290.5340000000001</v>
      </c>
      <c r="E82" s="3">
        <v>11.364000000000001</v>
      </c>
      <c r="F82" s="3">
        <v>104</v>
      </c>
    </row>
    <row r="83" spans="1:6" x14ac:dyDescent="0.25">
      <c r="A83" s="3" t="s">
        <v>0</v>
      </c>
      <c r="B83" s="3">
        <v>100</v>
      </c>
      <c r="C83" s="3">
        <v>1</v>
      </c>
      <c r="D83" s="3">
        <v>3297.6889999999999</v>
      </c>
      <c r="E83" s="3">
        <v>11.382</v>
      </c>
      <c r="F83" s="3">
        <v>106</v>
      </c>
    </row>
    <row r="84" spans="1:6" x14ac:dyDescent="0.25">
      <c r="A84" s="3" t="s">
        <v>0</v>
      </c>
      <c r="B84" s="3">
        <v>100</v>
      </c>
      <c r="C84" s="3">
        <v>1</v>
      </c>
      <c r="D84" s="3">
        <v>3292.085</v>
      </c>
      <c r="E84" s="3">
        <v>11.308999999999999</v>
      </c>
      <c r="F84" s="3">
        <v>104</v>
      </c>
    </row>
    <row r="85" spans="1:6" x14ac:dyDescent="0.25">
      <c r="A85" s="3" t="s">
        <v>0</v>
      </c>
      <c r="B85" s="3">
        <v>100</v>
      </c>
      <c r="C85" s="3">
        <v>1</v>
      </c>
      <c r="D85" s="3">
        <v>3292.7040000000002</v>
      </c>
      <c r="E85" s="3">
        <v>11.356999999999999</v>
      </c>
      <c r="F85" s="3">
        <v>105</v>
      </c>
    </row>
    <row r="86" spans="1:6" x14ac:dyDescent="0.25">
      <c r="A86" s="3" t="s">
        <v>0</v>
      </c>
      <c r="B86" s="3">
        <v>100</v>
      </c>
      <c r="C86" s="3">
        <v>1</v>
      </c>
      <c r="D86" s="3">
        <v>3293.4209999999998</v>
      </c>
      <c r="E86" s="3">
        <v>11.323</v>
      </c>
      <c r="F86" s="3">
        <v>105</v>
      </c>
    </row>
    <row r="87" spans="1:6" x14ac:dyDescent="0.25">
      <c r="A87" s="3" t="s">
        <v>0</v>
      </c>
      <c r="B87" s="3">
        <v>100</v>
      </c>
      <c r="C87" s="3">
        <v>1</v>
      </c>
      <c r="D87" s="3">
        <v>3291.7310000000002</v>
      </c>
      <c r="E87" s="3">
        <v>11.326000000000001</v>
      </c>
      <c r="F87" s="3">
        <v>104</v>
      </c>
    </row>
    <row r="88" spans="1:6" x14ac:dyDescent="0.25">
      <c r="A88" s="3" t="s">
        <v>0</v>
      </c>
      <c r="B88" s="3">
        <v>100</v>
      </c>
      <c r="C88" s="3">
        <v>1</v>
      </c>
      <c r="D88" s="3">
        <v>3298.3359999999998</v>
      </c>
      <c r="E88" s="3">
        <v>11.365</v>
      </c>
      <c r="F88" s="3">
        <v>105</v>
      </c>
    </row>
    <row r="89" spans="1:6" x14ac:dyDescent="0.25">
      <c r="A89" s="3" t="s">
        <v>0</v>
      </c>
      <c r="B89" s="3">
        <v>100</v>
      </c>
      <c r="C89" s="3">
        <v>1</v>
      </c>
      <c r="D89" s="3">
        <v>3293.643</v>
      </c>
      <c r="E89" s="3">
        <v>11.345000000000001</v>
      </c>
      <c r="F89" s="3">
        <v>105</v>
      </c>
    </row>
    <row r="90" spans="1:6" x14ac:dyDescent="0.25">
      <c r="A90" s="3" t="s">
        <v>0</v>
      </c>
      <c r="B90" s="3">
        <v>100</v>
      </c>
      <c r="C90" s="3">
        <v>1</v>
      </c>
      <c r="D90" s="3">
        <v>3296.2759999999998</v>
      </c>
      <c r="E90" s="3">
        <v>11.36</v>
      </c>
      <c r="F90" s="3">
        <v>104</v>
      </c>
    </row>
  </sheetData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0"/>
  <sheetViews>
    <sheetView zoomScale="85" zoomScaleNormal="85" workbookViewId="0">
      <selection sqref="A1:F91"/>
    </sheetView>
  </sheetViews>
  <sheetFormatPr defaultColWidth="9" defaultRowHeight="15" x14ac:dyDescent="0.25"/>
  <cols>
    <col min="1" max="1" width="10.125" style="3" customWidth="1"/>
    <col min="2" max="2" width="4.375" style="3" bestFit="1" customWidth="1"/>
    <col min="3" max="3" width="2.625" style="3" bestFit="1" customWidth="1"/>
    <col min="4" max="4" width="10.75" style="3" customWidth="1"/>
    <col min="5" max="5" width="7" style="3" bestFit="1" customWidth="1"/>
    <col min="6" max="6" width="4.375" style="3" bestFit="1" customWidth="1"/>
    <col min="7" max="7" width="2.25" style="3" customWidth="1"/>
    <col min="8" max="8" width="9.75" style="3" customWidth="1"/>
    <col min="9" max="9" width="4.375" style="3" bestFit="1" customWidth="1"/>
    <col min="10" max="10" width="3.125" style="3" bestFit="1" customWidth="1"/>
    <col min="11" max="11" width="2.375" style="3" customWidth="1"/>
    <col min="12" max="21" width="9" style="3"/>
    <col min="22" max="22" width="2.5" style="3" customWidth="1"/>
    <col min="23" max="23" width="9" style="3"/>
    <col min="24" max="24" width="2.5" style="3" customWidth="1"/>
    <col min="25" max="25" width="9" style="3"/>
    <col min="26" max="26" width="2.25" style="3" customWidth="1"/>
    <col min="27" max="27" width="2.375" style="3" customWidth="1"/>
    <col min="28" max="37" width="9" style="3"/>
    <col min="38" max="38" width="5.625" style="3" customWidth="1"/>
    <col min="39" max="16384" width="9" style="3"/>
  </cols>
  <sheetData>
    <row r="1" spans="1:39" x14ac:dyDescent="0.25">
      <c r="A1" s="3" t="s">
        <v>2</v>
      </c>
      <c r="B1" s="3">
        <v>24</v>
      </c>
      <c r="C1" s="3">
        <v>1</v>
      </c>
      <c r="D1" s="3">
        <v>55959.338000000003</v>
      </c>
      <c r="E1" s="3">
        <v>1.2410000000000001</v>
      </c>
      <c r="F1" s="3">
        <v>131</v>
      </c>
      <c r="H1" s="5" t="s">
        <v>13</v>
      </c>
      <c r="I1" s="5" t="s">
        <v>14</v>
      </c>
      <c r="J1" s="5" t="s">
        <v>10</v>
      </c>
      <c r="K1" s="2"/>
      <c r="L1" s="2">
        <v>1</v>
      </c>
      <c r="M1" s="2">
        <v>2</v>
      </c>
      <c r="N1" s="2">
        <v>3</v>
      </c>
      <c r="O1" s="2">
        <v>4</v>
      </c>
      <c r="P1" s="2">
        <v>5</v>
      </c>
      <c r="Q1" s="2">
        <v>6</v>
      </c>
      <c r="R1" s="2">
        <v>7</v>
      </c>
      <c r="S1" s="2">
        <v>8</v>
      </c>
      <c r="T1" s="2">
        <v>9</v>
      </c>
      <c r="U1" s="2">
        <v>10</v>
      </c>
      <c r="W1" s="2" t="s">
        <v>11</v>
      </c>
      <c r="X1" s="2"/>
      <c r="Y1" s="2" t="s">
        <v>9</v>
      </c>
      <c r="Z1" s="2"/>
      <c r="AM1" s="5" t="s">
        <v>12</v>
      </c>
    </row>
    <row r="2" spans="1:39" x14ac:dyDescent="0.25">
      <c r="A2" s="3" t="s">
        <v>2</v>
      </c>
      <c r="B2" s="3">
        <v>24</v>
      </c>
      <c r="C2" s="3">
        <v>1</v>
      </c>
      <c r="D2" s="3">
        <v>55963.858999999997</v>
      </c>
      <c r="E2" s="3">
        <v>1.2370000000000001</v>
      </c>
      <c r="F2" s="3">
        <v>153</v>
      </c>
      <c r="H2" s="3" t="s">
        <v>2</v>
      </c>
      <c r="I2" s="3">
        <v>24</v>
      </c>
      <c r="J2" s="3">
        <v>1</v>
      </c>
      <c r="L2" s="3">
        <f ca="1">INDIRECT("D"&amp;1+(ROW(D1)-1)*10+COLUMN(A1)-1)</f>
        <v>55959.338000000003</v>
      </c>
      <c r="M2" s="3">
        <f t="shared" ref="M2:U10" ca="1" si="0">INDIRECT("D"&amp;1+(ROW(E1)-1)*10+COLUMN(B1)-1)</f>
        <v>55963.858999999997</v>
      </c>
      <c r="N2" s="3">
        <f t="shared" ca="1" si="0"/>
        <v>55997.07</v>
      </c>
      <c r="O2" s="3">
        <f t="shared" ca="1" si="0"/>
        <v>55979.194000000003</v>
      </c>
      <c r="P2" s="3">
        <f t="shared" ca="1" si="0"/>
        <v>55974.201999999997</v>
      </c>
      <c r="Q2" s="3">
        <f t="shared" ca="1" si="0"/>
        <v>56002.885999999999</v>
      </c>
      <c r="R2" s="3">
        <f t="shared" ca="1" si="0"/>
        <v>55979.995000000003</v>
      </c>
      <c r="S2" s="3">
        <f t="shared" ca="1" si="0"/>
        <v>55957.548000000003</v>
      </c>
      <c r="T2" s="3">
        <f t="shared" ca="1" si="0"/>
        <v>55962.264000000003</v>
      </c>
      <c r="U2" s="3">
        <f t="shared" ca="1" si="0"/>
        <v>55955.05</v>
      </c>
      <c r="W2" s="3">
        <f ca="1">AVERAGE(L2:U2)</f>
        <v>55973.140600000006</v>
      </c>
      <c r="Y2" s="3">
        <f ca="1">Total!E2</f>
        <v>55722.476000000002</v>
      </c>
      <c r="AB2" s="3">
        <f t="shared" ref="AB2:AK10" ca="1" si="1">(L2-$Y2)/$Y2</f>
        <v>4.2507443495511752E-3</v>
      </c>
      <c r="AC2" s="3">
        <f t="shared" ca="1" si="1"/>
        <v>4.3318785762498126E-3</v>
      </c>
      <c r="AD2" s="3">
        <f t="shared" ca="1" si="1"/>
        <v>4.9278858319217059E-3</v>
      </c>
      <c r="AE2" s="3">
        <f t="shared" ca="1" si="1"/>
        <v>4.607081709721599E-3</v>
      </c>
      <c r="AF2" s="3">
        <f t="shared" ca="1" si="1"/>
        <v>4.5174948794449677E-3</v>
      </c>
      <c r="AG2" s="3">
        <f t="shared" ca="1" si="1"/>
        <v>5.0322602319393742E-3</v>
      </c>
      <c r="AH2" s="3">
        <f t="shared" ca="1" si="1"/>
        <v>4.6214565196277388E-3</v>
      </c>
      <c r="AI2" s="3">
        <f t="shared" ca="1" si="1"/>
        <v>4.2186208667396637E-3</v>
      </c>
      <c r="AJ2" s="3">
        <f t="shared" ca="1" si="1"/>
        <v>4.3032545789961031E-3</v>
      </c>
      <c r="AK2" s="3">
        <f t="shared" ca="1" si="1"/>
        <v>4.1737915594418406E-3</v>
      </c>
      <c r="AM2" s="3">
        <f ca="1">SUM(AB2:AK2)</f>
        <v>4.4984469103633982E-2</v>
      </c>
    </row>
    <row r="3" spans="1:39" x14ac:dyDescent="0.25">
      <c r="A3" s="3" t="s">
        <v>2</v>
      </c>
      <c r="B3" s="3">
        <v>24</v>
      </c>
      <c r="C3" s="3">
        <v>1</v>
      </c>
      <c r="D3" s="3">
        <v>55997.07</v>
      </c>
      <c r="E3" s="3">
        <v>1.236</v>
      </c>
      <c r="F3" s="3">
        <v>151</v>
      </c>
      <c r="H3" s="3" t="s">
        <v>2</v>
      </c>
      <c r="I3" s="3">
        <v>47</v>
      </c>
      <c r="J3" s="3">
        <v>1</v>
      </c>
      <c r="L3" s="3">
        <f t="shared" ref="L3:L10" ca="1" si="2">INDIRECT("D"&amp;1+(ROW(D2)-1)*10+COLUMN(A2)-1)</f>
        <v>126246.496</v>
      </c>
      <c r="M3" s="3">
        <f t="shared" ca="1" si="0"/>
        <v>126297.105</v>
      </c>
      <c r="N3" s="3">
        <f t="shared" ca="1" si="0"/>
        <v>126288.98699999999</v>
      </c>
      <c r="O3" s="3">
        <f t="shared" ca="1" si="0"/>
        <v>126290.579</v>
      </c>
      <c r="P3" s="3">
        <f t="shared" ca="1" si="0"/>
        <v>126240.73699999999</v>
      </c>
      <c r="Q3" s="3">
        <f t="shared" ca="1" si="0"/>
        <v>126260.374</v>
      </c>
      <c r="R3" s="3">
        <f t="shared" ca="1" si="0"/>
        <v>126367.77</v>
      </c>
      <c r="S3" s="3">
        <f t="shared" ca="1" si="0"/>
        <v>126230.43</v>
      </c>
      <c r="T3" s="3">
        <f t="shared" ca="1" si="0"/>
        <v>126206.38800000001</v>
      </c>
      <c r="U3" s="3">
        <f t="shared" ca="1" si="0"/>
        <v>126221.213</v>
      </c>
      <c r="W3" s="3">
        <f t="shared" ref="W3:W10" ca="1" si="3">AVERAGE(L3:U3)</f>
        <v>126265.0079</v>
      </c>
      <c r="Y3" s="3">
        <f ca="1">Total!E3</f>
        <v>126021.209</v>
      </c>
      <c r="AB3" s="3">
        <f t="shared" ca="1" si="1"/>
        <v>1.7876911496698673E-3</v>
      </c>
      <c r="AC3" s="3">
        <f t="shared" ca="1" si="1"/>
        <v>2.1892822818418869E-3</v>
      </c>
      <c r="AD3" s="3">
        <f t="shared" ca="1" si="1"/>
        <v>2.1248645535529749E-3</v>
      </c>
      <c r="AE3" s="3">
        <f t="shared" ca="1" si="1"/>
        <v>2.1374973477678296E-3</v>
      </c>
      <c r="AF3" s="3">
        <f t="shared" ca="1" si="1"/>
        <v>1.7419924927080421E-3</v>
      </c>
      <c r="AG3" s="3">
        <f t="shared" ca="1" si="1"/>
        <v>1.897815470092765E-3</v>
      </c>
      <c r="AH3" s="3">
        <f t="shared" ca="1" si="1"/>
        <v>2.7500212285695618E-3</v>
      </c>
      <c r="AI3" s="3">
        <f t="shared" ca="1" si="1"/>
        <v>1.6602046723737625E-3</v>
      </c>
      <c r="AJ3" s="3">
        <f t="shared" ca="1" si="1"/>
        <v>1.469427261247777E-3</v>
      </c>
      <c r="AK3" s="3">
        <f t="shared" ca="1" si="1"/>
        <v>1.5870661897871557E-3</v>
      </c>
      <c r="AM3" s="3">
        <f t="shared" ref="AM3:AM10" ca="1" si="4">SUM(AB3:AK3)</f>
        <v>1.9345862647611622E-2</v>
      </c>
    </row>
    <row r="4" spans="1:39" x14ac:dyDescent="0.25">
      <c r="A4" s="3" t="s">
        <v>2</v>
      </c>
      <c r="B4" s="3">
        <v>24</v>
      </c>
      <c r="C4" s="3">
        <v>1</v>
      </c>
      <c r="D4" s="3">
        <v>55979.194000000003</v>
      </c>
      <c r="E4" s="3">
        <v>1.2370000000000001</v>
      </c>
      <c r="F4" s="3">
        <v>152</v>
      </c>
      <c r="H4" s="3" t="s">
        <v>2</v>
      </c>
      <c r="I4" s="3">
        <v>100</v>
      </c>
      <c r="J4" s="3">
        <v>1</v>
      </c>
      <c r="L4" s="3">
        <f t="shared" ca="1" si="2"/>
        <v>1216737.8119999999</v>
      </c>
      <c r="M4" s="3">
        <f t="shared" ca="1" si="0"/>
        <v>1217272.949</v>
      </c>
      <c r="N4" s="3">
        <f t="shared" ca="1" si="0"/>
        <v>1216623.2039999999</v>
      </c>
      <c r="O4" s="3">
        <f t="shared" ca="1" si="0"/>
        <v>1217251.1070000001</v>
      </c>
      <c r="P4" s="3">
        <f t="shared" ca="1" si="0"/>
        <v>1218022.8030000001</v>
      </c>
      <c r="Q4" s="3">
        <f t="shared" ca="1" si="0"/>
        <v>1217545.5090000001</v>
      </c>
      <c r="R4" s="3">
        <f t="shared" ca="1" si="0"/>
        <v>1217278.8959999999</v>
      </c>
      <c r="S4" s="3">
        <f t="shared" ca="1" si="0"/>
        <v>1216863.92</v>
      </c>
      <c r="T4" s="3">
        <f t="shared" ca="1" si="0"/>
        <v>1217581.327</v>
      </c>
      <c r="U4" s="3">
        <f t="shared" ca="1" si="0"/>
        <v>1216802.2309999999</v>
      </c>
      <c r="W4" s="3">
        <f t="shared" ca="1" si="3"/>
        <v>1217197.9757999999</v>
      </c>
      <c r="Y4" s="3">
        <f ca="1">Total!E4</f>
        <v>1216556.6340000001</v>
      </c>
      <c r="AB4" s="3">
        <f t="shared" ca="1" si="1"/>
        <v>1.4892689327921564E-4</v>
      </c>
      <c r="AC4" s="3">
        <f t="shared" ca="1" si="1"/>
        <v>5.8880530505573162E-4</v>
      </c>
      <c r="AD4" s="3">
        <f t="shared" ca="1" si="1"/>
        <v>5.4720017251438835E-5</v>
      </c>
      <c r="AE4" s="3">
        <f t="shared" ca="1" si="1"/>
        <v>5.708513525725413E-4</v>
      </c>
      <c r="AF4" s="3">
        <f t="shared" ca="1" si="1"/>
        <v>1.2051794047427753E-3</v>
      </c>
      <c r="AG4" s="3">
        <f t="shared" ca="1" si="1"/>
        <v>8.1284748474767668E-4</v>
      </c>
      <c r="AH4" s="3">
        <f t="shared" ca="1" si="1"/>
        <v>5.936936923561846E-4</v>
      </c>
      <c r="AI4" s="3">
        <f t="shared" ca="1" si="1"/>
        <v>2.5258667900194713E-4</v>
      </c>
      <c r="AJ4" s="3">
        <f t="shared" ca="1" si="1"/>
        <v>8.4228959948277275E-4</v>
      </c>
      <c r="AK4" s="3">
        <f t="shared" ca="1" si="1"/>
        <v>2.0187880542175745E-4</v>
      </c>
      <c r="AM4" s="3">
        <f t="shared" ca="1" si="4"/>
        <v>5.2717792339120415E-3</v>
      </c>
    </row>
    <row r="5" spans="1:39" x14ac:dyDescent="0.25">
      <c r="A5" s="3" t="s">
        <v>2</v>
      </c>
      <c r="B5" s="3">
        <v>24</v>
      </c>
      <c r="C5" s="3">
        <v>1</v>
      </c>
      <c r="D5" s="3">
        <v>55974.201999999997</v>
      </c>
      <c r="E5" s="3">
        <v>1.2390000000000001</v>
      </c>
      <c r="F5" s="3">
        <v>139</v>
      </c>
      <c r="H5" s="3" t="s">
        <v>1</v>
      </c>
      <c r="I5" s="3">
        <v>30</v>
      </c>
      <c r="J5" s="3">
        <v>1</v>
      </c>
      <c r="L5" s="3">
        <f t="shared" ca="1" si="2"/>
        <v>20004.196</v>
      </c>
      <c r="M5" s="3">
        <f t="shared" ca="1" si="0"/>
        <v>20023.322</v>
      </c>
      <c r="N5" s="3">
        <f t="shared" ca="1" si="0"/>
        <v>20009.261999999999</v>
      </c>
      <c r="O5" s="3">
        <f t="shared" ca="1" si="0"/>
        <v>20013.804</v>
      </c>
      <c r="P5" s="3">
        <f t="shared" ca="1" si="0"/>
        <v>20019.126</v>
      </c>
      <c r="Q5" s="3">
        <f t="shared" ca="1" si="0"/>
        <v>20007.75</v>
      </c>
      <c r="R5" s="3">
        <f t="shared" ca="1" si="0"/>
        <v>19988.691999999999</v>
      </c>
      <c r="S5" s="3">
        <f t="shared" ca="1" si="0"/>
        <v>19994.257000000001</v>
      </c>
      <c r="T5" s="3">
        <f t="shared" ca="1" si="0"/>
        <v>19992.117999999999</v>
      </c>
      <c r="U5" s="3">
        <f t="shared" ca="1" si="0"/>
        <v>19995.378000000001</v>
      </c>
      <c r="W5" s="3">
        <f t="shared" ca="1" si="3"/>
        <v>20004.790499999999</v>
      </c>
      <c r="Y5" s="3">
        <f ca="1">Total!E5</f>
        <v>19969.536</v>
      </c>
      <c r="AB5" s="3">
        <f t="shared" ca="1" si="1"/>
        <v>1.7356437325333875E-3</v>
      </c>
      <c r="AC5" s="3">
        <f t="shared" ca="1" si="1"/>
        <v>2.6934025908263498E-3</v>
      </c>
      <c r="AD5" s="3">
        <f t="shared" ca="1" si="1"/>
        <v>1.989330147680885E-3</v>
      </c>
      <c r="AE5" s="3">
        <f t="shared" ca="1" si="1"/>
        <v>2.216776594108147E-3</v>
      </c>
      <c r="AF5" s="3">
        <f t="shared" ca="1" si="1"/>
        <v>2.4832825359587798E-3</v>
      </c>
      <c r="AG5" s="3">
        <f t="shared" ca="1" si="1"/>
        <v>1.9136148180909133E-3</v>
      </c>
      <c r="AH5" s="3">
        <f t="shared" ca="1" si="1"/>
        <v>9.5926114657842018E-4</v>
      </c>
      <c r="AI5" s="3">
        <f t="shared" ca="1" si="1"/>
        <v>1.2379356235418474E-3</v>
      </c>
      <c r="AJ5" s="3">
        <f t="shared" ca="1" si="1"/>
        <v>1.1308224687843781E-3</v>
      </c>
      <c r="AK5" s="3">
        <f t="shared" ca="1" si="1"/>
        <v>1.2940711291439396E-3</v>
      </c>
      <c r="AM5" s="3">
        <f t="shared" ca="1" si="4"/>
        <v>1.7654140787247048E-2</v>
      </c>
    </row>
    <row r="6" spans="1:39" x14ac:dyDescent="0.25">
      <c r="A6" s="3" t="s">
        <v>2</v>
      </c>
      <c r="B6" s="3">
        <v>24</v>
      </c>
      <c r="C6" s="3">
        <v>1</v>
      </c>
      <c r="D6" s="3">
        <v>56002.885999999999</v>
      </c>
      <c r="E6" s="3">
        <v>1.2390000000000001</v>
      </c>
      <c r="F6" s="3">
        <v>153</v>
      </c>
      <c r="H6" s="3" t="s">
        <v>1</v>
      </c>
      <c r="I6" s="3">
        <v>50</v>
      </c>
      <c r="J6" s="3">
        <v>1</v>
      </c>
      <c r="L6" s="3">
        <f t="shared" ca="1" si="2"/>
        <v>35392.815999999999</v>
      </c>
      <c r="M6" s="3">
        <f t="shared" ca="1" si="0"/>
        <v>35368.213000000003</v>
      </c>
      <c r="N6" s="3">
        <f t="shared" ca="1" si="0"/>
        <v>35420.49</v>
      </c>
      <c r="O6" s="3">
        <f t="shared" ca="1" si="0"/>
        <v>35494.61</v>
      </c>
      <c r="P6" s="3">
        <f t="shared" ca="1" si="0"/>
        <v>35436.048999999999</v>
      </c>
      <c r="Q6" s="3">
        <f t="shared" ca="1" si="0"/>
        <v>35433.451000000001</v>
      </c>
      <c r="R6" s="3">
        <f t="shared" ca="1" si="0"/>
        <v>35429.194000000003</v>
      </c>
      <c r="S6" s="3">
        <f t="shared" ca="1" si="0"/>
        <v>35437.436999999998</v>
      </c>
      <c r="T6" s="3">
        <f t="shared" ca="1" si="0"/>
        <v>35438.230000000003</v>
      </c>
      <c r="U6" s="3">
        <f t="shared" ca="1" si="0"/>
        <v>35428.673999999999</v>
      </c>
      <c r="W6" s="3">
        <f t="shared" ca="1" si="3"/>
        <v>35427.916400000002</v>
      </c>
      <c r="Y6" s="3">
        <f ca="1">Total!E6</f>
        <v>35277.981</v>
      </c>
      <c r="AB6" s="3">
        <f t="shared" ca="1" si="1"/>
        <v>3.2551466026357668E-3</v>
      </c>
      <c r="AC6" s="3">
        <f t="shared" ca="1" si="1"/>
        <v>2.557742746105669E-3</v>
      </c>
      <c r="AD6" s="3">
        <f t="shared" ca="1" si="1"/>
        <v>4.0396019261986164E-3</v>
      </c>
      <c r="AE6" s="3">
        <f t="shared" ca="1" si="1"/>
        <v>6.1406291930368919E-3</v>
      </c>
      <c r="AF6" s="3">
        <f t="shared" ca="1" si="1"/>
        <v>4.4806419052155879E-3</v>
      </c>
      <c r="AG6" s="3">
        <f t="shared" ca="1" si="1"/>
        <v>4.4069982349613816E-3</v>
      </c>
      <c r="AH6" s="3">
        <f t="shared" ca="1" si="1"/>
        <v>4.2863280639559099E-3</v>
      </c>
      <c r="AI6" s="3">
        <f t="shared" ca="1" si="1"/>
        <v>4.5199865604553255E-3</v>
      </c>
      <c r="AJ6" s="3">
        <f t="shared" ca="1" si="1"/>
        <v>4.5424651711219932E-3</v>
      </c>
      <c r="AK6" s="3">
        <f t="shared" ca="1" si="1"/>
        <v>4.2715879913875826E-3</v>
      </c>
      <c r="AM6" s="3">
        <f t="shared" ca="1" si="4"/>
        <v>4.2501128395074722E-2</v>
      </c>
    </row>
    <row r="7" spans="1:39" x14ac:dyDescent="0.25">
      <c r="A7" s="3" t="s">
        <v>2</v>
      </c>
      <c r="B7" s="3">
        <v>24</v>
      </c>
      <c r="C7" s="3">
        <v>1</v>
      </c>
      <c r="D7" s="3">
        <v>55979.995000000003</v>
      </c>
      <c r="E7" s="3">
        <v>1.2350000000000001</v>
      </c>
      <c r="F7" s="3">
        <v>148</v>
      </c>
      <c r="H7" s="3" t="s">
        <v>1</v>
      </c>
      <c r="I7" s="3">
        <v>100</v>
      </c>
      <c r="J7" s="3">
        <v>1</v>
      </c>
      <c r="L7" s="3">
        <f t="shared" ca="1" si="2"/>
        <v>63180.671000000002</v>
      </c>
      <c r="M7" s="3">
        <f t="shared" ca="1" si="0"/>
        <v>63217.548999999999</v>
      </c>
      <c r="N7" s="3">
        <f t="shared" ca="1" si="0"/>
        <v>63163.508000000002</v>
      </c>
      <c r="O7" s="3">
        <f t="shared" ca="1" si="0"/>
        <v>63181.413</v>
      </c>
      <c r="P7" s="3">
        <f t="shared" ca="1" si="0"/>
        <v>63119.745999999999</v>
      </c>
      <c r="Q7" s="3">
        <f t="shared" ca="1" si="0"/>
        <v>63212.03</v>
      </c>
      <c r="R7" s="3">
        <f t="shared" ca="1" si="0"/>
        <v>63129.408000000003</v>
      </c>
      <c r="S7" s="3">
        <f t="shared" ca="1" si="0"/>
        <v>63181.398999999998</v>
      </c>
      <c r="T7" s="3">
        <f t="shared" ca="1" si="0"/>
        <v>63277.180999999997</v>
      </c>
      <c r="U7" s="3">
        <f t="shared" ca="1" si="0"/>
        <v>63206.633000000002</v>
      </c>
      <c r="W7" s="3">
        <f t="shared" ca="1" si="3"/>
        <v>63186.953800000003</v>
      </c>
      <c r="Y7" s="3">
        <f ca="1">Total!E7</f>
        <v>63035.512000000002</v>
      </c>
      <c r="AB7" s="3">
        <f t="shared" ca="1" si="1"/>
        <v>2.302813055599511E-3</v>
      </c>
      <c r="AC7" s="3">
        <f t="shared" ca="1" si="1"/>
        <v>2.8878483607779155E-3</v>
      </c>
      <c r="AD7" s="3">
        <f t="shared" ca="1" si="1"/>
        <v>2.0305379608878118E-3</v>
      </c>
      <c r="AE7" s="3">
        <f t="shared" ca="1" si="1"/>
        <v>2.3145841981897126E-3</v>
      </c>
      <c r="AF7" s="3">
        <f t="shared" ca="1" si="1"/>
        <v>1.336294373241495E-3</v>
      </c>
      <c r="AG7" s="3">
        <f t="shared" ca="1" si="1"/>
        <v>2.800294538735505E-3</v>
      </c>
      <c r="AH7" s="3">
        <f t="shared" ca="1" si="1"/>
        <v>1.4895730520916629E-3</v>
      </c>
      <c r="AI7" s="3">
        <f t="shared" ca="1" si="1"/>
        <v>2.314362101159663E-3</v>
      </c>
      <c r="AJ7" s="3">
        <f t="shared" ca="1" si="1"/>
        <v>3.8338547960075965E-3</v>
      </c>
      <c r="AK7" s="3">
        <f t="shared" ca="1" si="1"/>
        <v>2.7146761336688942E-3</v>
      </c>
      <c r="AM7" s="3">
        <f t="shared" ca="1" si="4"/>
        <v>2.402483857035977E-2</v>
      </c>
    </row>
    <row r="8" spans="1:39" x14ac:dyDescent="0.25">
      <c r="A8" s="3" t="s">
        <v>2</v>
      </c>
      <c r="B8" s="3">
        <v>24</v>
      </c>
      <c r="C8" s="3">
        <v>1</v>
      </c>
      <c r="D8" s="3">
        <v>55957.548000000003</v>
      </c>
      <c r="E8" s="3">
        <v>1.2609999999999999</v>
      </c>
      <c r="F8" s="3">
        <v>153</v>
      </c>
      <c r="H8" s="3" t="s">
        <v>0</v>
      </c>
      <c r="I8" s="3">
        <v>25</v>
      </c>
      <c r="J8" s="3">
        <v>1</v>
      </c>
      <c r="L8" s="3">
        <f t="shared" ca="1" si="2"/>
        <v>722.92</v>
      </c>
      <c r="M8" s="3">
        <f t="shared" ca="1" si="0"/>
        <v>722.96500000000003</v>
      </c>
      <c r="N8" s="3">
        <f t="shared" ca="1" si="0"/>
        <v>723.51</v>
      </c>
      <c r="O8" s="3">
        <f t="shared" ca="1" si="0"/>
        <v>723.57299999999998</v>
      </c>
      <c r="P8" s="3">
        <f t="shared" ca="1" si="0"/>
        <v>723.77700000000004</v>
      </c>
      <c r="Q8" s="3">
        <f t="shared" ca="1" si="0"/>
        <v>723.67</v>
      </c>
      <c r="R8" s="3">
        <f t="shared" ca="1" si="0"/>
        <v>723.43299999999999</v>
      </c>
      <c r="S8" s="3">
        <f t="shared" ca="1" si="0"/>
        <v>723.59400000000005</v>
      </c>
      <c r="T8" s="3">
        <f t="shared" ca="1" si="0"/>
        <v>723.49800000000005</v>
      </c>
      <c r="U8" s="3">
        <f t="shared" ca="1" si="0"/>
        <v>723.57600000000002</v>
      </c>
      <c r="W8" s="3">
        <f t="shared" ca="1" si="3"/>
        <v>723.4516000000001</v>
      </c>
      <c r="Y8" s="3">
        <f ca="1">Total!E8</f>
        <v>722.92</v>
      </c>
      <c r="AB8" s="3">
        <f t="shared" ca="1" si="1"/>
        <v>0</v>
      </c>
      <c r="AC8" s="3">
        <f t="shared" ca="1" si="1"/>
        <v>6.2247551596404527E-5</v>
      </c>
      <c r="AD8" s="3">
        <f t="shared" ca="1" si="1"/>
        <v>8.1613456537380608E-4</v>
      </c>
      <c r="AE8" s="3">
        <f t="shared" ca="1" si="1"/>
        <v>9.0328113760861518E-4</v>
      </c>
      <c r="AF8" s="3">
        <f t="shared" ca="1" si="1"/>
        <v>1.1854700381786153E-3</v>
      </c>
      <c r="AG8" s="3">
        <f t="shared" ca="1" si="1"/>
        <v>1.0374591932717314E-3</v>
      </c>
      <c r="AH8" s="3">
        <f t="shared" ca="1" si="1"/>
        <v>7.0962208819791081E-4</v>
      </c>
      <c r="AI8" s="3">
        <f t="shared" ca="1" si="1"/>
        <v>9.3232999502032294E-4</v>
      </c>
      <c r="AJ8" s="3">
        <f t="shared" ca="1" si="1"/>
        <v>7.9953521828153638E-4</v>
      </c>
      <c r="AK8" s="3">
        <f t="shared" ca="1" si="1"/>
        <v>9.0743097438176123E-4</v>
      </c>
      <c r="AM8" s="3">
        <f t="shared" ca="1" si="4"/>
        <v>7.3535107619107035E-3</v>
      </c>
    </row>
    <row r="9" spans="1:39" x14ac:dyDescent="0.25">
      <c r="A9" s="3" t="s">
        <v>2</v>
      </c>
      <c r="B9" s="3">
        <v>24</v>
      </c>
      <c r="C9" s="3">
        <v>1</v>
      </c>
      <c r="D9" s="3">
        <v>55962.264000000003</v>
      </c>
      <c r="E9" s="3">
        <v>1.2370000000000001</v>
      </c>
      <c r="F9" s="3">
        <v>157</v>
      </c>
      <c r="H9" s="3" t="s">
        <v>0</v>
      </c>
      <c r="I9" s="3">
        <v>50</v>
      </c>
      <c r="J9" s="3">
        <v>1</v>
      </c>
      <c r="L9" s="3">
        <f t="shared" ca="1" si="2"/>
        <v>1572.69</v>
      </c>
      <c r="M9" s="3">
        <f t="shared" ca="1" si="0"/>
        <v>1571.796</v>
      </c>
      <c r="N9" s="3">
        <f t="shared" ca="1" si="0"/>
        <v>1571.3420000000001</v>
      </c>
      <c r="O9" s="3">
        <f t="shared" ca="1" si="0"/>
        <v>1572.556</v>
      </c>
      <c r="P9" s="3">
        <f t="shared" ca="1" si="0"/>
        <v>1572.8019999999999</v>
      </c>
      <c r="Q9" s="3">
        <f t="shared" ca="1" si="0"/>
        <v>1572.8130000000001</v>
      </c>
      <c r="R9" s="3">
        <f t="shared" ca="1" si="0"/>
        <v>1572.9870000000001</v>
      </c>
      <c r="S9" s="3">
        <f t="shared" ca="1" si="0"/>
        <v>1571.999</v>
      </c>
      <c r="T9" s="3">
        <f t="shared" ca="1" si="0"/>
        <v>1572.761</v>
      </c>
      <c r="U9" s="3">
        <f t="shared" ca="1" si="0"/>
        <v>1572.518</v>
      </c>
      <c r="W9" s="3">
        <f t="shared" ca="1" si="3"/>
        <v>1572.4264000000001</v>
      </c>
      <c r="Y9" s="3">
        <f ca="1">Total!E9</f>
        <v>1570.17</v>
      </c>
      <c r="AB9" s="3">
        <f t="shared" ca="1" si="1"/>
        <v>1.6049217600641852E-3</v>
      </c>
      <c r="AC9" s="3">
        <f t="shared" ca="1" si="1"/>
        <v>1.0355566594699786E-3</v>
      </c>
      <c r="AD9" s="3">
        <f t="shared" ca="1" si="1"/>
        <v>7.4641599317272999E-4</v>
      </c>
      <c r="AE9" s="3">
        <f t="shared" ca="1" si="1"/>
        <v>1.5195806823464766E-3</v>
      </c>
      <c r="AF9" s="3">
        <f t="shared" ca="1" si="1"/>
        <v>1.6762516160669446E-3</v>
      </c>
      <c r="AG9" s="3">
        <f t="shared" ca="1" si="1"/>
        <v>1.6832572269244916E-3</v>
      </c>
      <c r="AH9" s="3">
        <f t="shared" ca="1" si="1"/>
        <v>1.7940732532146246E-3</v>
      </c>
      <c r="AI9" s="3">
        <f t="shared" ca="1" si="1"/>
        <v>1.1648420234751339E-3</v>
      </c>
      <c r="AJ9" s="3">
        <f t="shared" ca="1" si="1"/>
        <v>1.650139793780224E-3</v>
      </c>
      <c r="AK9" s="3">
        <f t="shared" ca="1" si="1"/>
        <v>1.4953794812026444E-3</v>
      </c>
      <c r="AM9" s="3">
        <f t="shared" ca="1" si="4"/>
        <v>1.4370418489717433E-2</v>
      </c>
    </row>
    <row r="10" spans="1:39" x14ac:dyDescent="0.25">
      <c r="A10" s="3" t="s">
        <v>2</v>
      </c>
      <c r="B10" s="3">
        <v>24</v>
      </c>
      <c r="C10" s="3">
        <v>1</v>
      </c>
      <c r="D10" s="3">
        <v>55955.05</v>
      </c>
      <c r="E10" s="3">
        <v>1.238</v>
      </c>
      <c r="F10" s="3">
        <v>152</v>
      </c>
      <c r="H10" s="3" t="s">
        <v>28</v>
      </c>
      <c r="I10" s="3">
        <v>100</v>
      </c>
      <c r="J10" s="3">
        <v>1</v>
      </c>
      <c r="L10" s="3">
        <f t="shared" ca="1" si="2"/>
        <v>3313.241</v>
      </c>
      <c r="M10" s="3">
        <f t="shared" ca="1" si="0"/>
        <v>3324.8530000000001</v>
      </c>
      <c r="N10" s="3">
        <f t="shared" ca="1" si="0"/>
        <v>3322.8519999999999</v>
      </c>
      <c r="O10" s="3">
        <f t="shared" ca="1" si="0"/>
        <v>3317.1689999999999</v>
      </c>
      <c r="P10" s="3">
        <f t="shared" ca="1" si="0"/>
        <v>3331.0050000000001</v>
      </c>
      <c r="Q10" s="3">
        <f t="shared" ca="1" si="0"/>
        <v>3327.5259999999998</v>
      </c>
      <c r="R10" s="3">
        <f t="shared" ca="1" si="0"/>
        <v>3324.7919999999999</v>
      </c>
      <c r="S10" s="3">
        <f t="shared" ca="1" si="0"/>
        <v>3328.672</v>
      </c>
      <c r="T10" s="3">
        <f t="shared" ca="1" si="0"/>
        <v>3333.42</v>
      </c>
      <c r="U10" s="3">
        <f t="shared" ca="1" si="0"/>
        <v>3323.8110000000001</v>
      </c>
      <c r="W10" s="3">
        <f t="shared" ca="1" si="3"/>
        <v>3324.7341000000001</v>
      </c>
      <c r="Y10" s="3">
        <f ca="1">Total!E10</f>
        <v>3290.5340000000001</v>
      </c>
      <c r="AB10" s="3">
        <f t="shared" ca="1" si="1"/>
        <v>6.9007036547866938E-3</v>
      </c>
      <c r="AC10" s="3">
        <f t="shared" ca="1" si="1"/>
        <v>1.0429614159890145E-2</v>
      </c>
      <c r="AD10" s="3">
        <f t="shared" ca="1" si="1"/>
        <v>9.8215061749855059E-3</v>
      </c>
      <c r="AE10" s="3">
        <f t="shared" ca="1" si="1"/>
        <v>8.0944308735298783E-3</v>
      </c>
      <c r="AF10" s="3">
        <f t="shared" ca="1" si="1"/>
        <v>1.2299219518777197E-2</v>
      </c>
      <c r="AG10" s="3">
        <f t="shared" ca="1" si="1"/>
        <v>1.1241944316636672E-2</v>
      </c>
      <c r="AH10" s="3">
        <f t="shared" ca="1" si="1"/>
        <v>1.0411076135362773E-2</v>
      </c>
      <c r="AI10" s="3">
        <f t="shared" ca="1" si="1"/>
        <v>1.1590216056117311E-2</v>
      </c>
      <c r="AJ10" s="3">
        <f t="shared" ca="1" si="1"/>
        <v>1.3033142948834434E-2</v>
      </c>
      <c r="AK10" s="3">
        <f t="shared" ca="1" si="1"/>
        <v>1.0112948232718471E-2</v>
      </c>
      <c r="AM10" s="3">
        <f t="shared" ca="1" si="4"/>
        <v>0.10393480207163908</v>
      </c>
    </row>
    <row r="11" spans="1:39" x14ac:dyDescent="0.25">
      <c r="A11" s="3" t="s">
        <v>2</v>
      </c>
      <c r="B11" s="3">
        <v>47</v>
      </c>
      <c r="C11" s="3">
        <v>1</v>
      </c>
      <c r="D11" s="3">
        <v>126246.496</v>
      </c>
      <c r="E11" s="3">
        <v>4.1559999999999997</v>
      </c>
      <c r="F11" s="3">
        <v>148</v>
      </c>
    </row>
    <row r="12" spans="1:39" x14ac:dyDescent="0.25">
      <c r="A12" s="3" t="s">
        <v>2</v>
      </c>
      <c r="B12" s="3">
        <v>47</v>
      </c>
      <c r="C12" s="3">
        <v>1</v>
      </c>
      <c r="D12" s="3">
        <v>126297.105</v>
      </c>
      <c r="E12" s="3">
        <v>4.157</v>
      </c>
      <c r="F12" s="3">
        <v>144</v>
      </c>
    </row>
    <row r="13" spans="1:39" x14ac:dyDescent="0.25">
      <c r="A13" s="3" t="s">
        <v>2</v>
      </c>
      <c r="B13" s="3">
        <v>47</v>
      </c>
      <c r="C13" s="3">
        <v>1</v>
      </c>
      <c r="D13" s="3">
        <v>126288.98699999999</v>
      </c>
      <c r="E13" s="3">
        <v>4.1500000000000004</v>
      </c>
      <c r="F13" s="3">
        <v>146</v>
      </c>
    </row>
    <row r="14" spans="1:39" x14ac:dyDescent="0.25">
      <c r="A14" s="3" t="s">
        <v>2</v>
      </c>
      <c r="B14" s="3">
        <v>47</v>
      </c>
      <c r="C14" s="3">
        <v>1</v>
      </c>
      <c r="D14" s="3">
        <v>126290.579</v>
      </c>
      <c r="E14" s="3">
        <v>4.1509999999999998</v>
      </c>
      <c r="F14" s="3">
        <v>151</v>
      </c>
    </row>
    <row r="15" spans="1:39" x14ac:dyDescent="0.25">
      <c r="A15" s="3" t="s">
        <v>2</v>
      </c>
      <c r="B15" s="3">
        <v>47</v>
      </c>
      <c r="C15" s="3">
        <v>1</v>
      </c>
      <c r="D15" s="3">
        <v>126240.73699999999</v>
      </c>
      <c r="E15" s="3">
        <v>4.1509999999999998</v>
      </c>
      <c r="F15" s="3">
        <v>147</v>
      </c>
    </row>
    <row r="16" spans="1:39" x14ac:dyDescent="0.25">
      <c r="A16" s="3" t="s">
        <v>2</v>
      </c>
      <c r="B16" s="3">
        <v>47</v>
      </c>
      <c r="C16" s="3">
        <v>1</v>
      </c>
      <c r="D16" s="3">
        <v>126260.374</v>
      </c>
      <c r="E16" s="3">
        <v>4.1449999999999996</v>
      </c>
      <c r="F16" s="3">
        <v>150</v>
      </c>
    </row>
    <row r="17" spans="1:6" x14ac:dyDescent="0.25">
      <c r="A17" s="3" t="s">
        <v>2</v>
      </c>
      <c r="B17" s="3">
        <v>47</v>
      </c>
      <c r="C17" s="3">
        <v>1</v>
      </c>
      <c r="D17" s="3">
        <v>126367.77</v>
      </c>
      <c r="E17" s="3">
        <v>4.1440000000000001</v>
      </c>
      <c r="F17" s="3">
        <v>147</v>
      </c>
    </row>
    <row r="18" spans="1:6" x14ac:dyDescent="0.25">
      <c r="A18" s="3" t="s">
        <v>2</v>
      </c>
      <c r="B18" s="3">
        <v>47</v>
      </c>
      <c r="C18" s="3">
        <v>1</v>
      </c>
      <c r="D18" s="3">
        <v>126230.43</v>
      </c>
      <c r="E18" s="3">
        <v>4.1559999999999997</v>
      </c>
      <c r="F18" s="3">
        <v>140</v>
      </c>
    </row>
    <row r="19" spans="1:6" x14ac:dyDescent="0.25">
      <c r="A19" s="3" t="s">
        <v>2</v>
      </c>
      <c r="B19" s="3">
        <v>47</v>
      </c>
      <c r="C19" s="3">
        <v>1</v>
      </c>
      <c r="D19" s="3">
        <v>126206.38800000001</v>
      </c>
      <c r="E19" s="3">
        <v>4.157</v>
      </c>
      <c r="F19" s="3">
        <v>149</v>
      </c>
    </row>
    <row r="20" spans="1:6" x14ac:dyDescent="0.25">
      <c r="A20" s="3" t="s">
        <v>2</v>
      </c>
      <c r="B20" s="3">
        <v>47</v>
      </c>
      <c r="C20" s="3">
        <v>1</v>
      </c>
      <c r="D20" s="3">
        <v>126221.213</v>
      </c>
      <c r="E20" s="3">
        <v>4.1559999999999997</v>
      </c>
      <c r="F20" s="3">
        <v>151</v>
      </c>
    </row>
    <row r="21" spans="1:6" x14ac:dyDescent="0.25">
      <c r="A21" s="3" t="s">
        <v>2</v>
      </c>
      <c r="B21" s="3">
        <v>100</v>
      </c>
      <c r="C21" s="3">
        <v>1</v>
      </c>
      <c r="D21" s="3">
        <v>1216737.8119999999</v>
      </c>
      <c r="E21" s="3">
        <v>22.117999999999999</v>
      </c>
      <c r="F21" s="3">
        <v>155</v>
      </c>
    </row>
    <row r="22" spans="1:6" x14ac:dyDescent="0.25">
      <c r="A22" s="3" t="s">
        <v>2</v>
      </c>
      <c r="B22" s="3">
        <v>100</v>
      </c>
      <c r="C22" s="3">
        <v>1</v>
      </c>
      <c r="D22" s="3">
        <v>1217272.949</v>
      </c>
      <c r="E22" s="3">
        <v>22.07</v>
      </c>
      <c r="F22" s="3">
        <v>153</v>
      </c>
    </row>
    <row r="23" spans="1:6" x14ac:dyDescent="0.25">
      <c r="A23" s="3" t="s">
        <v>2</v>
      </c>
      <c r="B23" s="3">
        <v>100</v>
      </c>
      <c r="C23" s="3">
        <v>1</v>
      </c>
      <c r="D23" s="3">
        <v>1216623.2039999999</v>
      </c>
      <c r="E23" s="3">
        <v>22.152999999999999</v>
      </c>
      <c r="F23" s="3">
        <v>156</v>
      </c>
    </row>
    <row r="24" spans="1:6" x14ac:dyDescent="0.25">
      <c r="A24" s="3" t="s">
        <v>2</v>
      </c>
      <c r="B24" s="3">
        <v>100</v>
      </c>
      <c r="C24" s="3">
        <v>1</v>
      </c>
      <c r="D24" s="3">
        <v>1217251.1070000001</v>
      </c>
      <c r="E24" s="3">
        <v>22.082000000000001</v>
      </c>
      <c r="F24" s="3">
        <v>153</v>
      </c>
    </row>
    <row r="25" spans="1:6" x14ac:dyDescent="0.25">
      <c r="A25" s="3" t="s">
        <v>2</v>
      </c>
      <c r="B25" s="3">
        <v>100</v>
      </c>
      <c r="C25" s="3">
        <v>1</v>
      </c>
      <c r="D25" s="3">
        <v>1218022.8030000001</v>
      </c>
      <c r="E25" s="3">
        <v>22.088000000000001</v>
      </c>
      <c r="F25" s="3">
        <v>156</v>
      </c>
    </row>
    <row r="26" spans="1:6" x14ac:dyDescent="0.25">
      <c r="A26" s="3" t="s">
        <v>2</v>
      </c>
      <c r="B26" s="3">
        <v>100</v>
      </c>
      <c r="C26" s="3">
        <v>1</v>
      </c>
      <c r="D26" s="3">
        <v>1217545.5090000001</v>
      </c>
      <c r="E26" s="3">
        <v>22.158000000000001</v>
      </c>
      <c r="F26" s="3">
        <v>156</v>
      </c>
    </row>
    <row r="27" spans="1:6" x14ac:dyDescent="0.25">
      <c r="A27" s="3" t="s">
        <v>2</v>
      </c>
      <c r="B27" s="3">
        <v>100</v>
      </c>
      <c r="C27" s="3">
        <v>1</v>
      </c>
      <c r="D27" s="3">
        <v>1217278.8959999999</v>
      </c>
      <c r="E27" s="3">
        <v>22.12</v>
      </c>
      <c r="F27" s="3">
        <v>157</v>
      </c>
    </row>
    <row r="28" spans="1:6" x14ac:dyDescent="0.25">
      <c r="A28" s="3" t="s">
        <v>2</v>
      </c>
      <c r="B28" s="3">
        <v>100</v>
      </c>
      <c r="C28" s="3">
        <v>1</v>
      </c>
      <c r="D28" s="3">
        <v>1216863.92</v>
      </c>
      <c r="E28" s="3">
        <v>22.088000000000001</v>
      </c>
      <c r="F28" s="3">
        <v>154</v>
      </c>
    </row>
    <row r="29" spans="1:6" x14ac:dyDescent="0.25">
      <c r="A29" s="3" t="s">
        <v>2</v>
      </c>
      <c r="B29" s="3">
        <v>100</v>
      </c>
      <c r="C29" s="3">
        <v>1</v>
      </c>
      <c r="D29" s="3">
        <v>1217581.327</v>
      </c>
      <c r="E29" s="3">
        <v>22.155999999999999</v>
      </c>
      <c r="F29" s="3">
        <v>155</v>
      </c>
    </row>
    <row r="30" spans="1:6" x14ac:dyDescent="0.25">
      <c r="A30" s="3" t="s">
        <v>2</v>
      </c>
      <c r="B30" s="3">
        <v>100</v>
      </c>
      <c r="C30" s="3">
        <v>1</v>
      </c>
      <c r="D30" s="3">
        <v>1216802.2309999999</v>
      </c>
      <c r="E30" s="3">
        <v>22.143999999999998</v>
      </c>
      <c r="F30" s="3">
        <v>154</v>
      </c>
    </row>
    <row r="31" spans="1:6" x14ac:dyDescent="0.25">
      <c r="A31" s="3" t="s">
        <v>1</v>
      </c>
      <c r="B31" s="3">
        <v>30</v>
      </c>
      <c r="C31" s="3">
        <v>1</v>
      </c>
      <c r="D31" s="3">
        <v>20004.196</v>
      </c>
      <c r="E31" s="3">
        <v>1.353</v>
      </c>
      <c r="F31" s="3">
        <v>105</v>
      </c>
    </row>
    <row r="32" spans="1:6" x14ac:dyDescent="0.25">
      <c r="A32" s="3" t="s">
        <v>1</v>
      </c>
      <c r="B32" s="3">
        <v>30</v>
      </c>
      <c r="C32" s="3">
        <v>1</v>
      </c>
      <c r="D32" s="3">
        <v>20023.322</v>
      </c>
      <c r="E32" s="3">
        <v>1.349</v>
      </c>
      <c r="F32" s="3">
        <v>99</v>
      </c>
    </row>
    <row r="33" spans="1:6" x14ac:dyDescent="0.25">
      <c r="A33" s="3" t="s">
        <v>1</v>
      </c>
      <c r="B33" s="3">
        <v>30</v>
      </c>
      <c r="C33" s="3">
        <v>1</v>
      </c>
      <c r="D33" s="3">
        <v>20009.261999999999</v>
      </c>
      <c r="E33" s="3">
        <v>1.35</v>
      </c>
      <c r="F33" s="3">
        <v>110</v>
      </c>
    </row>
    <row r="34" spans="1:6" x14ac:dyDescent="0.25">
      <c r="A34" s="3" t="s">
        <v>1</v>
      </c>
      <c r="B34" s="3">
        <v>30</v>
      </c>
      <c r="C34" s="3">
        <v>1</v>
      </c>
      <c r="D34" s="3">
        <v>20013.804</v>
      </c>
      <c r="E34" s="3">
        <v>1.355</v>
      </c>
      <c r="F34" s="3">
        <v>106</v>
      </c>
    </row>
    <row r="35" spans="1:6" x14ac:dyDescent="0.25">
      <c r="A35" s="3" t="s">
        <v>1</v>
      </c>
      <c r="B35" s="3">
        <v>30</v>
      </c>
      <c r="C35" s="3">
        <v>1</v>
      </c>
      <c r="D35" s="3">
        <v>20019.126</v>
      </c>
      <c r="E35" s="3">
        <v>1.353</v>
      </c>
      <c r="F35" s="3">
        <v>103</v>
      </c>
    </row>
    <row r="36" spans="1:6" x14ac:dyDescent="0.25">
      <c r="A36" s="3" t="s">
        <v>1</v>
      </c>
      <c r="B36" s="3">
        <v>30</v>
      </c>
      <c r="C36" s="3">
        <v>1</v>
      </c>
      <c r="D36" s="3">
        <v>20007.75</v>
      </c>
      <c r="E36" s="3">
        <v>1.35</v>
      </c>
      <c r="F36" s="3">
        <v>104</v>
      </c>
    </row>
    <row r="37" spans="1:6" x14ac:dyDescent="0.25">
      <c r="A37" s="3" t="s">
        <v>1</v>
      </c>
      <c r="B37" s="3">
        <v>30</v>
      </c>
      <c r="C37" s="3">
        <v>1</v>
      </c>
      <c r="D37" s="3">
        <v>19988.691999999999</v>
      </c>
      <c r="E37" s="3">
        <v>1.351</v>
      </c>
      <c r="F37" s="3">
        <v>107</v>
      </c>
    </row>
    <row r="38" spans="1:6" x14ac:dyDescent="0.25">
      <c r="A38" s="3" t="s">
        <v>1</v>
      </c>
      <c r="B38" s="3">
        <v>30</v>
      </c>
      <c r="C38" s="3">
        <v>1</v>
      </c>
      <c r="D38" s="3">
        <v>19994.257000000001</v>
      </c>
      <c r="E38" s="3">
        <v>1.349</v>
      </c>
      <c r="F38" s="3">
        <v>104</v>
      </c>
    </row>
    <row r="39" spans="1:6" x14ac:dyDescent="0.25">
      <c r="A39" s="3" t="s">
        <v>1</v>
      </c>
      <c r="B39" s="3">
        <v>30</v>
      </c>
      <c r="C39" s="3">
        <v>1</v>
      </c>
      <c r="D39" s="3">
        <v>19992.117999999999</v>
      </c>
      <c r="E39" s="3">
        <v>1.3520000000000001</v>
      </c>
      <c r="F39" s="3">
        <v>96</v>
      </c>
    </row>
    <row r="40" spans="1:6" x14ac:dyDescent="0.25">
      <c r="A40" s="3" t="s">
        <v>1</v>
      </c>
      <c r="B40" s="3">
        <v>30</v>
      </c>
      <c r="C40" s="3">
        <v>1</v>
      </c>
      <c r="D40" s="3">
        <v>19995.378000000001</v>
      </c>
      <c r="E40" s="3">
        <v>1.353</v>
      </c>
      <c r="F40" s="3">
        <v>109</v>
      </c>
    </row>
    <row r="41" spans="1:6" x14ac:dyDescent="0.25">
      <c r="A41" s="3" t="s">
        <v>1</v>
      </c>
      <c r="B41" s="3">
        <v>50</v>
      </c>
      <c r="C41" s="3">
        <v>1</v>
      </c>
      <c r="D41" s="3">
        <v>35392.815999999999</v>
      </c>
      <c r="E41" s="3">
        <v>3.0529999999999999</v>
      </c>
      <c r="F41" s="3">
        <v>90</v>
      </c>
    </row>
    <row r="42" spans="1:6" x14ac:dyDescent="0.25">
      <c r="A42" s="3" t="s">
        <v>1</v>
      </c>
      <c r="B42" s="3">
        <v>50</v>
      </c>
      <c r="C42" s="3">
        <v>1</v>
      </c>
      <c r="D42" s="3">
        <v>35368.213000000003</v>
      </c>
      <c r="E42" s="3">
        <v>3.0409999999999999</v>
      </c>
      <c r="F42" s="3">
        <v>92</v>
      </c>
    </row>
    <row r="43" spans="1:6" x14ac:dyDescent="0.25">
      <c r="A43" s="3" t="s">
        <v>1</v>
      </c>
      <c r="B43" s="3">
        <v>50</v>
      </c>
      <c r="C43" s="3">
        <v>1</v>
      </c>
      <c r="D43" s="3">
        <v>35420.49</v>
      </c>
      <c r="E43" s="3">
        <v>3.0459999999999998</v>
      </c>
      <c r="F43" s="3">
        <v>93</v>
      </c>
    </row>
    <row r="44" spans="1:6" x14ac:dyDescent="0.25">
      <c r="A44" s="3" t="s">
        <v>1</v>
      </c>
      <c r="B44" s="3">
        <v>50</v>
      </c>
      <c r="C44" s="3">
        <v>1</v>
      </c>
      <c r="D44" s="3">
        <v>35494.61</v>
      </c>
      <c r="E44" s="3">
        <v>3.0369999999999999</v>
      </c>
      <c r="F44" s="3">
        <v>93</v>
      </c>
    </row>
    <row r="45" spans="1:6" x14ac:dyDescent="0.25">
      <c r="A45" s="3" t="s">
        <v>1</v>
      </c>
      <c r="B45" s="3">
        <v>50</v>
      </c>
      <c r="C45" s="3">
        <v>1</v>
      </c>
      <c r="D45" s="3">
        <v>35436.048999999999</v>
      </c>
      <c r="E45" s="3">
        <v>3.0390000000000001</v>
      </c>
      <c r="F45" s="3">
        <v>93</v>
      </c>
    </row>
    <row r="46" spans="1:6" x14ac:dyDescent="0.25">
      <c r="A46" s="3" t="s">
        <v>1</v>
      </c>
      <c r="B46" s="3">
        <v>50</v>
      </c>
      <c r="C46" s="3">
        <v>1</v>
      </c>
      <c r="D46" s="3">
        <v>35433.451000000001</v>
      </c>
      <c r="E46" s="3">
        <v>3.0379999999999998</v>
      </c>
      <c r="F46" s="3">
        <v>89</v>
      </c>
    </row>
    <row r="47" spans="1:6" x14ac:dyDescent="0.25">
      <c r="A47" s="3" t="s">
        <v>1</v>
      </c>
      <c r="B47" s="3">
        <v>50</v>
      </c>
      <c r="C47" s="3">
        <v>1</v>
      </c>
      <c r="D47" s="3">
        <v>35429.194000000003</v>
      </c>
      <c r="E47" s="3">
        <v>3.0339999999999998</v>
      </c>
      <c r="F47" s="3">
        <v>93</v>
      </c>
    </row>
    <row r="48" spans="1:6" x14ac:dyDescent="0.25">
      <c r="A48" s="3" t="s">
        <v>1</v>
      </c>
      <c r="B48" s="3">
        <v>50</v>
      </c>
      <c r="C48" s="3">
        <v>1</v>
      </c>
      <c r="D48" s="3">
        <v>35437.436999999998</v>
      </c>
      <c r="E48" s="3">
        <v>3.05</v>
      </c>
      <c r="F48" s="3">
        <v>92</v>
      </c>
    </row>
    <row r="49" spans="1:6" x14ac:dyDescent="0.25">
      <c r="A49" s="3" t="s">
        <v>1</v>
      </c>
      <c r="B49" s="3">
        <v>50</v>
      </c>
      <c r="C49" s="3">
        <v>1</v>
      </c>
      <c r="D49" s="3">
        <v>35438.230000000003</v>
      </c>
      <c r="E49" s="3">
        <v>3.0459999999999998</v>
      </c>
      <c r="F49" s="3">
        <v>91</v>
      </c>
    </row>
    <row r="50" spans="1:6" x14ac:dyDescent="0.25">
      <c r="A50" s="3" t="s">
        <v>1</v>
      </c>
      <c r="B50" s="3">
        <v>50</v>
      </c>
      <c r="C50" s="3">
        <v>1</v>
      </c>
      <c r="D50" s="3">
        <v>35428.673999999999</v>
      </c>
      <c r="E50" s="3">
        <v>3.056</v>
      </c>
      <c r="F50" s="3">
        <v>92</v>
      </c>
    </row>
    <row r="51" spans="1:6" x14ac:dyDescent="0.25">
      <c r="A51" s="3" t="s">
        <v>1</v>
      </c>
      <c r="B51" s="3">
        <v>100</v>
      </c>
      <c r="C51" s="3">
        <v>1</v>
      </c>
      <c r="D51" s="3">
        <v>63180.671000000002</v>
      </c>
      <c r="E51" s="3">
        <v>11.737</v>
      </c>
      <c r="F51" s="3">
        <v>84</v>
      </c>
    </row>
    <row r="52" spans="1:6" x14ac:dyDescent="0.25">
      <c r="A52" s="3" t="s">
        <v>1</v>
      </c>
      <c r="B52" s="3">
        <v>100</v>
      </c>
      <c r="C52" s="3">
        <v>1</v>
      </c>
      <c r="D52" s="3">
        <v>63217.548999999999</v>
      </c>
      <c r="E52" s="3">
        <v>11.712999999999999</v>
      </c>
      <c r="F52" s="3">
        <v>83</v>
      </c>
    </row>
    <row r="53" spans="1:6" x14ac:dyDescent="0.25">
      <c r="A53" s="3" t="s">
        <v>1</v>
      </c>
      <c r="B53" s="3">
        <v>100</v>
      </c>
      <c r="C53" s="3">
        <v>1</v>
      </c>
      <c r="D53" s="3">
        <v>63163.508000000002</v>
      </c>
      <c r="E53" s="3">
        <v>11.738</v>
      </c>
      <c r="F53" s="3">
        <v>84</v>
      </c>
    </row>
    <row r="54" spans="1:6" x14ac:dyDescent="0.25">
      <c r="A54" s="3" t="s">
        <v>1</v>
      </c>
      <c r="B54" s="3">
        <v>100</v>
      </c>
      <c r="C54" s="3">
        <v>1</v>
      </c>
      <c r="D54" s="3">
        <v>63181.413</v>
      </c>
      <c r="E54" s="3">
        <v>11.736000000000001</v>
      </c>
      <c r="F54" s="3">
        <v>83</v>
      </c>
    </row>
    <row r="55" spans="1:6" x14ac:dyDescent="0.25">
      <c r="A55" s="3" t="s">
        <v>1</v>
      </c>
      <c r="B55" s="3">
        <v>100</v>
      </c>
      <c r="C55" s="3">
        <v>1</v>
      </c>
      <c r="D55" s="3">
        <v>63119.745999999999</v>
      </c>
      <c r="E55" s="3">
        <v>11.743</v>
      </c>
      <c r="F55" s="3">
        <v>84</v>
      </c>
    </row>
    <row r="56" spans="1:6" x14ac:dyDescent="0.25">
      <c r="A56" s="3" t="s">
        <v>1</v>
      </c>
      <c r="B56" s="3">
        <v>100</v>
      </c>
      <c r="C56" s="3">
        <v>1</v>
      </c>
      <c r="D56" s="3">
        <v>63212.03</v>
      </c>
      <c r="E56" s="3">
        <v>11.706</v>
      </c>
      <c r="F56" s="3">
        <v>86</v>
      </c>
    </row>
    <row r="57" spans="1:6" x14ac:dyDescent="0.25">
      <c r="A57" s="3" t="s">
        <v>1</v>
      </c>
      <c r="B57" s="3">
        <v>100</v>
      </c>
      <c r="C57" s="3">
        <v>1</v>
      </c>
      <c r="D57" s="3">
        <v>63129.408000000003</v>
      </c>
      <c r="E57" s="3">
        <v>11.769</v>
      </c>
      <c r="F57" s="3">
        <v>86</v>
      </c>
    </row>
    <row r="58" spans="1:6" x14ac:dyDescent="0.25">
      <c r="A58" s="3" t="s">
        <v>1</v>
      </c>
      <c r="B58" s="3">
        <v>100</v>
      </c>
      <c r="C58" s="3">
        <v>1</v>
      </c>
      <c r="D58" s="3">
        <v>63181.398999999998</v>
      </c>
      <c r="E58" s="3">
        <v>11.682</v>
      </c>
      <c r="F58" s="3">
        <v>82</v>
      </c>
    </row>
    <row r="59" spans="1:6" x14ac:dyDescent="0.25">
      <c r="A59" s="3" t="s">
        <v>1</v>
      </c>
      <c r="B59" s="3">
        <v>100</v>
      </c>
      <c r="C59" s="3">
        <v>1</v>
      </c>
      <c r="D59" s="3">
        <v>63277.180999999997</v>
      </c>
      <c r="E59" s="3">
        <v>11.707000000000001</v>
      </c>
      <c r="F59" s="3">
        <v>83</v>
      </c>
    </row>
    <row r="60" spans="1:6" x14ac:dyDescent="0.25">
      <c r="A60" s="3" t="s">
        <v>1</v>
      </c>
      <c r="B60" s="3">
        <v>100</v>
      </c>
      <c r="C60" s="3">
        <v>1</v>
      </c>
      <c r="D60" s="3">
        <v>63206.633000000002</v>
      </c>
      <c r="E60" s="3">
        <v>11.691000000000001</v>
      </c>
      <c r="F60" s="3">
        <v>83</v>
      </c>
    </row>
    <row r="61" spans="1:6" x14ac:dyDescent="0.25">
      <c r="A61" s="3" t="s">
        <v>0</v>
      </c>
      <c r="B61" s="3">
        <v>25</v>
      </c>
      <c r="C61" s="3">
        <v>1</v>
      </c>
      <c r="D61" s="3">
        <v>722.92</v>
      </c>
      <c r="E61" s="3">
        <v>0.94099999999999995</v>
      </c>
      <c r="F61" s="3">
        <v>89</v>
      </c>
    </row>
    <row r="62" spans="1:6" x14ac:dyDescent="0.25">
      <c r="A62" s="3" t="s">
        <v>0</v>
      </c>
      <c r="B62" s="3">
        <v>25</v>
      </c>
      <c r="C62" s="3">
        <v>1</v>
      </c>
      <c r="D62" s="3">
        <v>722.96500000000003</v>
      </c>
      <c r="E62" s="3">
        <v>0.90700000000000003</v>
      </c>
      <c r="F62" s="3">
        <v>97</v>
      </c>
    </row>
    <row r="63" spans="1:6" x14ac:dyDescent="0.25">
      <c r="A63" s="3" t="s">
        <v>0</v>
      </c>
      <c r="B63" s="3">
        <v>25</v>
      </c>
      <c r="C63" s="3">
        <v>1</v>
      </c>
      <c r="D63" s="3">
        <v>723.51</v>
      </c>
      <c r="E63" s="3">
        <v>0.90800000000000003</v>
      </c>
      <c r="F63" s="3">
        <v>81</v>
      </c>
    </row>
    <row r="64" spans="1:6" x14ac:dyDescent="0.25">
      <c r="A64" s="3" t="s">
        <v>0</v>
      </c>
      <c r="B64" s="3">
        <v>25</v>
      </c>
      <c r="C64" s="3">
        <v>1</v>
      </c>
      <c r="D64" s="3">
        <v>723.57299999999998</v>
      </c>
      <c r="E64" s="3">
        <v>0.90300000000000002</v>
      </c>
      <c r="F64" s="3">
        <v>99</v>
      </c>
    </row>
    <row r="65" spans="1:6" x14ac:dyDescent="0.25">
      <c r="A65" s="3" t="s">
        <v>0</v>
      </c>
      <c r="B65" s="3">
        <v>25</v>
      </c>
      <c r="C65" s="3">
        <v>1</v>
      </c>
      <c r="D65" s="3">
        <v>723.77700000000004</v>
      </c>
      <c r="E65" s="3">
        <v>0.90500000000000003</v>
      </c>
      <c r="F65" s="3">
        <v>86</v>
      </c>
    </row>
    <row r="66" spans="1:6" x14ac:dyDescent="0.25">
      <c r="A66" s="3" t="s">
        <v>0</v>
      </c>
      <c r="B66" s="3">
        <v>25</v>
      </c>
      <c r="C66" s="3">
        <v>1</v>
      </c>
      <c r="D66" s="3">
        <v>723.67</v>
      </c>
      <c r="E66" s="3">
        <v>0.90700000000000003</v>
      </c>
      <c r="F66" s="3">
        <v>84</v>
      </c>
    </row>
    <row r="67" spans="1:6" x14ac:dyDescent="0.25">
      <c r="A67" s="3" t="s">
        <v>0</v>
      </c>
      <c r="B67" s="3">
        <v>25</v>
      </c>
      <c r="C67" s="3">
        <v>1</v>
      </c>
      <c r="D67" s="3">
        <v>723.43299999999999</v>
      </c>
      <c r="E67" s="3">
        <v>0.90800000000000003</v>
      </c>
      <c r="F67" s="3">
        <v>84</v>
      </c>
    </row>
    <row r="68" spans="1:6" x14ac:dyDescent="0.25">
      <c r="A68" s="3" t="s">
        <v>0</v>
      </c>
      <c r="B68" s="3">
        <v>25</v>
      </c>
      <c r="C68" s="3">
        <v>1</v>
      </c>
      <c r="D68" s="3">
        <v>723.59400000000005</v>
      </c>
      <c r="E68" s="3">
        <v>0.90200000000000002</v>
      </c>
      <c r="F68" s="3">
        <v>95</v>
      </c>
    </row>
    <row r="69" spans="1:6" x14ac:dyDescent="0.25">
      <c r="A69" s="3" t="s">
        <v>0</v>
      </c>
      <c r="B69" s="3">
        <v>25</v>
      </c>
      <c r="C69" s="3">
        <v>1</v>
      </c>
      <c r="D69" s="3">
        <v>723.49800000000005</v>
      </c>
      <c r="E69" s="3">
        <v>0.90600000000000003</v>
      </c>
      <c r="F69" s="3">
        <v>88</v>
      </c>
    </row>
    <row r="70" spans="1:6" x14ac:dyDescent="0.25">
      <c r="A70" s="3" t="s">
        <v>0</v>
      </c>
      <c r="B70" s="3">
        <v>25</v>
      </c>
      <c r="C70" s="3">
        <v>1</v>
      </c>
      <c r="D70" s="3">
        <v>723.57600000000002</v>
      </c>
      <c r="E70" s="3">
        <v>0.90400000000000003</v>
      </c>
      <c r="F70" s="3">
        <v>95</v>
      </c>
    </row>
    <row r="71" spans="1:6" x14ac:dyDescent="0.25">
      <c r="A71" s="3" t="s">
        <v>0</v>
      </c>
      <c r="B71" s="3">
        <v>50</v>
      </c>
      <c r="C71" s="3">
        <v>1</v>
      </c>
      <c r="D71" s="3">
        <v>1572.69</v>
      </c>
      <c r="E71" s="3">
        <v>3.3719999999999999</v>
      </c>
      <c r="F71" s="3">
        <v>101</v>
      </c>
    </row>
    <row r="72" spans="1:6" x14ac:dyDescent="0.25">
      <c r="A72" s="3" t="s">
        <v>0</v>
      </c>
      <c r="B72" s="3">
        <v>50</v>
      </c>
      <c r="C72" s="3">
        <v>1</v>
      </c>
      <c r="D72" s="3">
        <v>1571.796</v>
      </c>
      <c r="E72" s="3">
        <v>3.37</v>
      </c>
      <c r="F72" s="3">
        <v>101</v>
      </c>
    </row>
    <row r="73" spans="1:6" x14ac:dyDescent="0.25">
      <c r="A73" s="3" t="s">
        <v>0</v>
      </c>
      <c r="B73" s="3">
        <v>50</v>
      </c>
      <c r="C73" s="3">
        <v>1</v>
      </c>
      <c r="D73" s="3">
        <v>1571.3420000000001</v>
      </c>
      <c r="E73" s="3">
        <v>3.3730000000000002</v>
      </c>
      <c r="F73" s="3">
        <v>102</v>
      </c>
    </row>
    <row r="74" spans="1:6" x14ac:dyDescent="0.25">
      <c r="A74" s="3" t="s">
        <v>0</v>
      </c>
      <c r="B74" s="3">
        <v>50</v>
      </c>
      <c r="C74" s="3">
        <v>1</v>
      </c>
      <c r="D74" s="3">
        <v>1572.556</v>
      </c>
      <c r="E74" s="3">
        <v>3.4249999999999998</v>
      </c>
      <c r="F74" s="3">
        <v>103</v>
      </c>
    </row>
    <row r="75" spans="1:6" x14ac:dyDescent="0.25">
      <c r="A75" s="3" t="s">
        <v>0</v>
      </c>
      <c r="B75" s="3">
        <v>50</v>
      </c>
      <c r="C75" s="3">
        <v>1</v>
      </c>
      <c r="D75" s="3">
        <v>1572.8019999999999</v>
      </c>
      <c r="E75" s="3">
        <v>3.383</v>
      </c>
      <c r="F75" s="3">
        <v>103</v>
      </c>
    </row>
    <row r="76" spans="1:6" x14ac:dyDescent="0.25">
      <c r="A76" s="3" t="s">
        <v>0</v>
      </c>
      <c r="B76" s="3">
        <v>50</v>
      </c>
      <c r="C76" s="3">
        <v>1</v>
      </c>
      <c r="D76" s="3">
        <v>1572.8130000000001</v>
      </c>
      <c r="E76" s="3">
        <v>3.383</v>
      </c>
      <c r="F76" s="3">
        <v>101</v>
      </c>
    </row>
    <row r="77" spans="1:6" x14ac:dyDescent="0.25">
      <c r="A77" s="3" t="s">
        <v>0</v>
      </c>
      <c r="B77" s="3">
        <v>50</v>
      </c>
      <c r="C77" s="3">
        <v>1</v>
      </c>
      <c r="D77" s="3">
        <v>1572.9870000000001</v>
      </c>
      <c r="E77" s="3">
        <v>3.3740000000000001</v>
      </c>
      <c r="F77" s="3">
        <v>102</v>
      </c>
    </row>
    <row r="78" spans="1:6" x14ac:dyDescent="0.25">
      <c r="A78" s="3" t="s">
        <v>0</v>
      </c>
      <c r="B78" s="3">
        <v>50</v>
      </c>
      <c r="C78" s="3">
        <v>1</v>
      </c>
      <c r="D78" s="3">
        <v>1571.999</v>
      </c>
      <c r="E78" s="3">
        <v>3.4169999999999998</v>
      </c>
      <c r="F78" s="3">
        <v>100</v>
      </c>
    </row>
    <row r="79" spans="1:6" x14ac:dyDescent="0.25">
      <c r="A79" s="3" t="s">
        <v>0</v>
      </c>
      <c r="B79" s="3">
        <v>50</v>
      </c>
      <c r="C79" s="3">
        <v>1</v>
      </c>
      <c r="D79" s="3">
        <v>1572.761</v>
      </c>
      <c r="E79" s="3">
        <v>3.3679999999999999</v>
      </c>
      <c r="F79" s="3">
        <v>102</v>
      </c>
    </row>
    <row r="80" spans="1:6" x14ac:dyDescent="0.25">
      <c r="A80" s="3" t="s">
        <v>0</v>
      </c>
      <c r="B80" s="3">
        <v>50</v>
      </c>
      <c r="C80" s="3">
        <v>1</v>
      </c>
      <c r="D80" s="3">
        <v>1572.518</v>
      </c>
      <c r="E80" s="3">
        <v>3.37</v>
      </c>
      <c r="F80" s="3">
        <v>103</v>
      </c>
    </row>
    <row r="81" spans="1:6" x14ac:dyDescent="0.25">
      <c r="A81" s="3" t="s">
        <v>0</v>
      </c>
      <c r="B81" s="3">
        <v>100</v>
      </c>
      <c r="C81" s="3">
        <v>1</v>
      </c>
      <c r="D81" s="3">
        <v>3313.241</v>
      </c>
      <c r="E81" s="3">
        <v>11.316000000000001</v>
      </c>
      <c r="F81" s="3">
        <v>82</v>
      </c>
    </row>
    <row r="82" spans="1:6" x14ac:dyDescent="0.25">
      <c r="A82" s="3" t="s">
        <v>0</v>
      </c>
      <c r="B82" s="3">
        <v>100</v>
      </c>
      <c r="C82" s="3">
        <v>1</v>
      </c>
      <c r="D82" s="3">
        <v>3324.8530000000001</v>
      </c>
      <c r="E82" s="3">
        <v>11.317</v>
      </c>
      <c r="F82" s="3">
        <v>82</v>
      </c>
    </row>
    <row r="83" spans="1:6" x14ac:dyDescent="0.25">
      <c r="A83" s="3" t="s">
        <v>0</v>
      </c>
      <c r="B83" s="3">
        <v>100</v>
      </c>
      <c r="C83" s="3">
        <v>1</v>
      </c>
      <c r="D83" s="3">
        <v>3322.8519999999999</v>
      </c>
      <c r="E83" s="3">
        <v>11.397</v>
      </c>
      <c r="F83" s="3">
        <v>82</v>
      </c>
    </row>
    <row r="84" spans="1:6" x14ac:dyDescent="0.25">
      <c r="A84" s="3" t="s">
        <v>0</v>
      </c>
      <c r="B84" s="3">
        <v>100</v>
      </c>
      <c r="C84" s="3">
        <v>1</v>
      </c>
      <c r="D84" s="3">
        <v>3317.1689999999999</v>
      </c>
      <c r="E84" s="3">
        <v>11.316000000000001</v>
      </c>
      <c r="F84" s="3">
        <v>82</v>
      </c>
    </row>
    <row r="85" spans="1:6" x14ac:dyDescent="0.25">
      <c r="A85" s="3" t="s">
        <v>0</v>
      </c>
      <c r="B85" s="3">
        <v>100</v>
      </c>
      <c r="C85" s="3">
        <v>1</v>
      </c>
      <c r="D85" s="3">
        <v>3331.0050000000001</v>
      </c>
      <c r="E85" s="3">
        <v>11.396000000000001</v>
      </c>
      <c r="F85" s="3">
        <v>83</v>
      </c>
    </row>
    <row r="86" spans="1:6" x14ac:dyDescent="0.25">
      <c r="A86" s="3" t="s">
        <v>0</v>
      </c>
      <c r="B86" s="3">
        <v>100</v>
      </c>
      <c r="C86" s="3">
        <v>1</v>
      </c>
      <c r="D86" s="3">
        <v>3327.5259999999998</v>
      </c>
      <c r="E86" s="3">
        <v>11.371</v>
      </c>
      <c r="F86" s="3">
        <v>82</v>
      </c>
    </row>
    <row r="87" spans="1:6" x14ac:dyDescent="0.25">
      <c r="A87" s="3" t="s">
        <v>0</v>
      </c>
      <c r="B87" s="3">
        <v>100</v>
      </c>
      <c r="C87" s="3">
        <v>1</v>
      </c>
      <c r="D87" s="3">
        <v>3324.7919999999999</v>
      </c>
      <c r="E87" s="3">
        <v>11.343</v>
      </c>
      <c r="F87" s="3">
        <v>81</v>
      </c>
    </row>
    <row r="88" spans="1:6" x14ac:dyDescent="0.25">
      <c r="A88" s="3" t="s">
        <v>0</v>
      </c>
      <c r="B88" s="3">
        <v>100</v>
      </c>
      <c r="C88" s="3">
        <v>1</v>
      </c>
      <c r="D88" s="3">
        <v>3328.672</v>
      </c>
      <c r="E88" s="3">
        <v>11.34</v>
      </c>
      <c r="F88" s="3">
        <v>82</v>
      </c>
    </row>
    <row r="89" spans="1:6" x14ac:dyDescent="0.25">
      <c r="A89" s="3" t="s">
        <v>0</v>
      </c>
      <c r="B89" s="3">
        <v>100</v>
      </c>
      <c r="C89" s="3">
        <v>1</v>
      </c>
      <c r="D89" s="3">
        <v>3333.42</v>
      </c>
      <c r="E89" s="3">
        <v>11.33</v>
      </c>
      <c r="F89" s="3">
        <v>82</v>
      </c>
    </row>
    <row r="90" spans="1:6" x14ac:dyDescent="0.25">
      <c r="A90" s="3" t="s">
        <v>0</v>
      </c>
      <c r="B90" s="3">
        <v>100</v>
      </c>
      <c r="C90" s="3">
        <v>1</v>
      </c>
      <c r="D90" s="3">
        <v>3323.8110000000001</v>
      </c>
      <c r="E90" s="3">
        <v>11.428000000000001</v>
      </c>
      <c r="F90" s="3">
        <v>82</v>
      </c>
    </row>
  </sheetData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0"/>
  <sheetViews>
    <sheetView zoomScale="85" zoomScaleNormal="85" workbookViewId="0">
      <selection sqref="A1:F91"/>
    </sheetView>
  </sheetViews>
  <sheetFormatPr defaultColWidth="9" defaultRowHeight="15" x14ac:dyDescent="0.25"/>
  <cols>
    <col min="1" max="1" width="9.875" style="3" customWidth="1"/>
    <col min="2" max="2" width="4.375" style="3" bestFit="1" customWidth="1"/>
    <col min="3" max="3" width="2.625" style="3" bestFit="1" customWidth="1"/>
    <col min="4" max="4" width="10.5" style="3" customWidth="1"/>
    <col min="5" max="5" width="7" style="3" bestFit="1" customWidth="1"/>
    <col min="6" max="6" width="4.375" style="3" bestFit="1" customWidth="1"/>
    <col min="7" max="7" width="2.5" style="3" customWidth="1"/>
    <col min="8" max="8" width="10.125" style="3" customWidth="1"/>
    <col min="9" max="9" width="4.375" style="3" bestFit="1" customWidth="1"/>
    <col min="10" max="10" width="3.125" style="3" bestFit="1" customWidth="1"/>
    <col min="11" max="11" width="2.5" style="3" customWidth="1"/>
    <col min="12" max="21" width="9" style="3"/>
    <col min="22" max="22" width="2.25" style="3" customWidth="1"/>
    <col min="23" max="23" width="9" style="3"/>
    <col min="24" max="24" width="2" style="3" customWidth="1"/>
    <col min="25" max="25" width="9" style="3"/>
    <col min="26" max="26" width="2.375" style="3" customWidth="1"/>
    <col min="27" max="27" width="2.5" style="3" customWidth="1"/>
    <col min="28" max="37" width="9" style="3"/>
    <col min="38" max="38" width="5.625" style="3" customWidth="1"/>
    <col min="39" max="16384" width="9" style="3"/>
  </cols>
  <sheetData>
    <row r="1" spans="1:39" x14ac:dyDescent="0.25">
      <c r="A1" s="3" t="s">
        <v>2</v>
      </c>
      <c r="B1" s="3">
        <v>24</v>
      </c>
      <c r="C1" s="3">
        <v>1</v>
      </c>
      <c r="D1" s="3">
        <v>56034.260999999999</v>
      </c>
      <c r="E1" s="3">
        <v>1.24</v>
      </c>
      <c r="F1" s="3">
        <v>123</v>
      </c>
      <c r="H1" s="5" t="s">
        <v>13</v>
      </c>
      <c r="I1" s="5" t="s">
        <v>14</v>
      </c>
      <c r="J1" s="5" t="s">
        <v>10</v>
      </c>
      <c r="K1" s="2"/>
      <c r="L1" s="2">
        <v>1</v>
      </c>
      <c r="M1" s="2">
        <v>2</v>
      </c>
      <c r="N1" s="2">
        <v>3</v>
      </c>
      <c r="O1" s="2">
        <v>4</v>
      </c>
      <c r="P1" s="2">
        <v>5</v>
      </c>
      <c r="Q1" s="2">
        <v>6</v>
      </c>
      <c r="R1" s="2">
        <v>7</v>
      </c>
      <c r="S1" s="2">
        <v>8</v>
      </c>
      <c r="T1" s="2">
        <v>9</v>
      </c>
      <c r="U1" s="2">
        <v>10</v>
      </c>
      <c r="W1" s="2" t="s">
        <v>11</v>
      </c>
      <c r="X1" s="2"/>
      <c r="Y1" s="2" t="s">
        <v>9</v>
      </c>
      <c r="Z1" s="2"/>
      <c r="AM1" s="5" t="s">
        <v>12</v>
      </c>
    </row>
    <row r="2" spans="1:39" x14ac:dyDescent="0.25">
      <c r="A2" s="3" t="s">
        <v>2</v>
      </c>
      <c r="B2" s="3">
        <v>24</v>
      </c>
      <c r="C2" s="3">
        <v>1</v>
      </c>
      <c r="D2" s="3">
        <v>55998.141000000003</v>
      </c>
      <c r="E2" s="3">
        <v>1.236</v>
      </c>
      <c r="F2" s="3">
        <v>144</v>
      </c>
      <c r="H2" s="3" t="s">
        <v>2</v>
      </c>
      <c r="I2" s="3">
        <v>24</v>
      </c>
      <c r="J2" s="3">
        <v>1</v>
      </c>
      <c r="L2" s="3">
        <f ca="1">INDIRECT("D"&amp;1+(ROW(D1)-1)*10+COLUMN(A1)-1)</f>
        <v>56034.260999999999</v>
      </c>
      <c r="M2" s="3">
        <f t="shared" ref="M2:U10" ca="1" si="0">INDIRECT("D"&amp;1+(ROW(E1)-1)*10+COLUMN(B1)-1)</f>
        <v>55998.141000000003</v>
      </c>
      <c r="N2" s="3">
        <f t="shared" ca="1" si="0"/>
        <v>55977.77</v>
      </c>
      <c r="O2" s="3">
        <f t="shared" ca="1" si="0"/>
        <v>55998.771000000001</v>
      </c>
      <c r="P2" s="3">
        <f t="shared" ca="1" si="0"/>
        <v>56003.671999999999</v>
      </c>
      <c r="Q2" s="3">
        <f t="shared" ca="1" si="0"/>
        <v>56016.461000000003</v>
      </c>
      <c r="R2" s="3">
        <f t="shared" ca="1" si="0"/>
        <v>56005.93</v>
      </c>
      <c r="S2" s="3">
        <f t="shared" ca="1" si="0"/>
        <v>55973.517</v>
      </c>
      <c r="T2" s="3">
        <f t="shared" ca="1" si="0"/>
        <v>56010.341</v>
      </c>
      <c r="U2" s="3">
        <f t="shared" ca="1" si="0"/>
        <v>56036.877</v>
      </c>
      <c r="W2" s="3">
        <f ca="1">AVERAGE(L2:U2)</f>
        <v>56005.574100000005</v>
      </c>
      <c r="Y2" s="3">
        <f ca="1">Total!E2</f>
        <v>55722.476000000002</v>
      </c>
      <c r="AB2" s="3">
        <f t="shared" ref="AB2:AK10" ca="1" si="1">(L2-$Y2)/$Y2</f>
        <v>5.5953184851297022E-3</v>
      </c>
      <c r="AC2" s="3">
        <f t="shared" ca="1" si="1"/>
        <v>4.947106083369319E-3</v>
      </c>
      <c r="AD2" s="3">
        <f t="shared" ca="1" si="1"/>
        <v>4.5815264921105518E-3</v>
      </c>
      <c r="AE2" s="3">
        <f t="shared" ca="1" si="1"/>
        <v>4.9584121136325354E-3</v>
      </c>
      <c r="AF2" s="3">
        <f t="shared" ca="1" si="1"/>
        <v>5.0463658506487803E-3</v>
      </c>
      <c r="AG2" s="3">
        <f t="shared" ca="1" si="1"/>
        <v>5.2758782649931163E-3</v>
      </c>
      <c r="AH2" s="3">
        <f t="shared" ca="1" si="1"/>
        <v>5.0868880987987308E-3</v>
      </c>
      <c r="AI2" s="3">
        <f t="shared" ca="1" si="1"/>
        <v>4.5052018147936825E-3</v>
      </c>
      <c r="AJ2" s="3">
        <f t="shared" ca="1" si="1"/>
        <v>5.1660482567213624E-3</v>
      </c>
      <c r="AK2" s="3">
        <f t="shared" ca="1" si="1"/>
        <v>5.642265429841955E-3</v>
      </c>
      <c r="AM2" s="3">
        <f ca="1">SUM(AB2:AK2)</f>
        <v>5.0805010890039741E-2</v>
      </c>
    </row>
    <row r="3" spans="1:39" x14ac:dyDescent="0.25">
      <c r="A3" s="3" t="s">
        <v>2</v>
      </c>
      <c r="B3" s="3">
        <v>24</v>
      </c>
      <c r="C3" s="3">
        <v>1</v>
      </c>
      <c r="D3" s="3">
        <v>55977.77</v>
      </c>
      <c r="E3" s="3">
        <v>1.2370000000000001</v>
      </c>
      <c r="F3" s="3">
        <v>159</v>
      </c>
      <c r="H3" s="3" t="s">
        <v>2</v>
      </c>
      <c r="I3" s="3">
        <v>47</v>
      </c>
      <c r="J3" s="3">
        <v>1</v>
      </c>
      <c r="L3" s="3">
        <f t="shared" ref="L3:L10" ca="1" si="2">INDIRECT("D"&amp;1+(ROW(D2)-1)*10+COLUMN(A2)-1)</f>
        <v>126298.181</v>
      </c>
      <c r="M3" s="3">
        <f t="shared" ca="1" si="0"/>
        <v>126194.007</v>
      </c>
      <c r="N3" s="3">
        <f t="shared" ca="1" si="0"/>
        <v>126258.497</v>
      </c>
      <c r="O3" s="3">
        <f t="shared" ca="1" si="0"/>
        <v>126221.72100000001</v>
      </c>
      <c r="P3" s="3">
        <f t="shared" ca="1" si="0"/>
        <v>126493.133</v>
      </c>
      <c r="Q3" s="3">
        <f t="shared" ca="1" si="0"/>
        <v>126245.74800000001</v>
      </c>
      <c r="R3" s="3">
        <f t="shared" ca="1" si="0"/>
        <v>126240.70699999999</v>
      </c>
      <c r="S3" s="3">
        <f t="shared" ca="1" si="0"/>
        <v>126314.629</v>
      </c>
      <c r="T3" s="3">
        <f t="shared" ca="1" si="0"/>
        <v>126237.446</v>
      </c>
      <c r="U3" s="3">
        <f t="shared" ca="1" si="0"/>
        <v>126326.766</v>
      </c>
      <c r="W3" s="3">
        <f t="shared" ref="W3:W10" ca="1" si="3">AVERAGE(L3:U3)</f>
        <v>126283.08349999999</v>
      </c>
      <c r="Y3" s="3">
        <f ca="1">Total!E3</f>
        <v>126021.209</v>
      </c>
      <c r="AB3" s="3">
        <f t="shared" ca="1" si="1"/>
        <v>2.1978205271780426E-3</v>
      </c>
      <c r="AC3" s="3">
        <f t="shared" ca="1" si="1"/>
        <v>1.3711818936762877E-3</v>
      </c>
      <c r="AD3" s="3">
        <f t="shared" ca="1" si="1"/>
        <v>1.8829211517880332E-3</v>
      </c>
      <c r="AE3" s="3">
        <f t="shared" ca="1" si="1"/>
        <v>1.5910972572878779E-3</v>
      </c>
      <c r="AF3" s="3">
        <f t="shared" ca="1" si="1"/>
        <v>3.7447982267810099E-3</v>
      </c>
      <c r="AG3" s="3">
        <f t="shared" ca="1" si="1"/>
        <v>1.781755640830301E-3</v>
      </c>
      <c r="AH3" s="3">
        <f t="shared" ca="1" si="1"/>
        <v>1.7417544375406865E-3</v>
      </c>
      <c r="AI3" s="3">
        <f t="shared" ca="1" si="1"/>
        <v>2.3283382402719075E-3</v>
      </c>
      <c r="AJ3" s="3">
        <f t="shared" ca="1" si="1"/>
        <v>1.7158778408481522E-3</v>
      </c>
      <c r="AK3" s="3">
        <f t="shared" ca="1" si="1"/>
        <v>2.4246474258154491E-3</v>
      </c>
      <c r="AM3" s="3">
        <f t="shared" ref="AM3:AM10" ca="1" si="4">SUM(AB3:AK3)</f>
        <v>2.0780192642017747E-2</v>
      </c>
    </row>
    <row r="4" spans="1:39" x14ac:dyDescent="0.25">
      <c r="A4" s="3" t="s">
        <v>2</v>
      </c>
      <c r="B4" s="3">
        <v>24</v>
      </c>
      <c r="C4" s="3">
        <v>1</v>
      </c>
      <c r="D4" s="3">
        <v>55998.771000000001</v>
      </c>
      <c r="E4" s="3">
        <v>1.24</v>
      </c>
      <c r="F4" s="3">
        <v>152</v>
      </c>
      <c r="H4" s="3" t="s">
        <v>2</v>
      </c>
      <c r="I4" s="3">
        <v>100</v>
      </c>
      <c r="J4" s="3">
        <v>1</v>
      </c>
      <c r="L4" s="3">
        <f t="shared" ca="1" si="2"/>
        <v>1217045.243</v>
      </c>
      <c r="M4" s="3">
        <f t="shared" ca="1" si="0"/>
        <v>1217344.8629999999</v>
      </c>
      <c r="N4" s="3">
        <f t="shared" ca="1" si="0"/>
        <v>1216927.75</v>
      </c>
      <c r="O4" s="3">
        <f t="shared" ca="1" si="0"/>
        <v>1217247.6129999999</v>
      </c>
      <c r="P4" s="3">
        <f t="shared" ca="1" si="0"/>
        <v>1216875.5449999999</v>
      </c>
      <c r="Q4" s="3">
        <f t="shared" ca="1" si="0"/>
        <v>1217335.453</v>
      </c>
      <c r="R4" s="3">
        <f t="shared" ca="1" si="0"/>
        <v>1217215.9169999999</v>
      </c>
      <c r="S4" s="3">
        <f t="shared" ca="1" si="0"/>
        <v>1216756.385</v>
      </c>
      <c r="T4" s="3">
        <f t="shared" ca="1" si="0"/>
        <v>1216937.547</v>
      </c>
      <c r="U4" s="3">
        <f t="shared" ca="1" si="0"/>
        <v>1216819.121</v>
      </c>
      <c r="W4" s="3">
        <f t="shared" ca="1" si="3"/>
        <v>1217050.5436999998</v>
      </c>
      <c r="Y4" s="3">
        <f ca="1">Total!E4</f>
        <v>1216556.6340000001</v>
      </c>
      <c r="AB4" s="3">
        <f t="shared" ca="1" si="1"/>
        <v>4.016327611427406E-4</v>
      </c>
      <c r="AC4" s="3">
        <f t="shared" ca="1" si="1"/>
        <v>6.4791804834284225E-4</v>
      </c>
      <c r="AD4" s="3">
        <f t="shared" ca="1" si="1"/>
        <v>3.050544377697436E-4</v>
      </c>
      <c r="AE4" s="3">
        <f t="shared" ca="1" si="1"/>
        <v>5.6797931200942137E-4</v>
      </c>
      <c r="AF4" s="3">
        <f t="shared" ca="1" si="1"/>
        <v>2.621423377153252E-4</v>
      </c>
      <c r="AG4" s="3">
        <f t="shared" ca="1" si="1"/>
        <v>6.4018310223599604E-4</v>
      </c>
      <c r="AH4" s="3">
        <f t="shared" ca="1" si="1"/>
        <v>5.4192544890583466E-4</v>
      </c>
      <c r="AI4" s="3">
        <f t="shared" ca="1" si="1"/>
        <v>1.6419375343271612E-4</v>
      </c>
      <c r="AJ4" s="3">
        <f t="shared" ca="1" si="1"/>
        <v>3.1310749483771445E-4</v>
      </c>
      <c r="AK4" s="3">
        <f t="shared" ca="1" si="1"/>
        <v>2.1576225279123717E-4</v>
      </c>
      <c r="AM4" s="3">
        <f t="shared" ca="1" si="4"/>
        <v>4.0598989491835722E-3</v>
      </c>
    </row>
    <row r="5" spans="1:39" x14ac:dyDescent="0.25">
      <c r="A5" s="3" t="s">
        <v>2</v>
      </c>
      <c r="B5" s="3">
        <v>24</v>
      </c>
      <c r="C5" s="3">
        <v>1</v>
      </c>
      <c r="D5" s="3">
        <v>56003.671999999999</v>
      </c>
      <c r="E5" s="3">
        <v>1.2390000000000001</v>
      </c>
      <c r="F5" s="3">
        <v>139</v>
      </c>
      <c r="H5" s="3" t="s">
        <v>1</v>
      </c>
      <c r="I5" s="3">
        <v>30</v>
      </c>
      <c r="J5" s="3">
        <v>1</v>
      </c>
      <c r="L5" s="3">
        <f t="shared" ca="1" si="2"/>
        <v>20024.616999999998</v>
      </c>
      <c r="M5" s="3">
        <f t="shared" ca="1" si="0"/>
        <v>19997.883999999998</v>
      </c>
      <c r="N5" s="3">
        <f t="shared" ca="1" si="0"/>
        <v>19996.195</v>
      </c>
      <c r="O5" s="3">
        <f t="shared" ca="1" si="0"/>
        <v>19991.666000000001</v>
      </c>
      <c r="P5" s="3">
        <f t="shared" ca="1" si="0"/>
        <v>19996.208999999999</v>
      </c>
      <c r="Q5" s="3">
        <f t="shared" ca="1" si="0"/>
        <v>20035.528999999999</v>
      </c>
      <c r="R5" s="3">
        <f t="shared" ca="1" si="0"/>
        <v>20033.073</v>
      </c>
      <c r="S5" s="3">
        <f t="shared" ca="1" si="0"/>
        <v>20070.545999999998</v>
      </c>
      <c r="T5" s="3">
        <f t="shared" ca="1" si="0"/>
        <v>19993.703000000001</v>
      </c>
      <c r="U5" s="3">
        <f t="shared" ca="1" si="0"/>
        <v>19982.064999999999</v>
      </c>
      <c r="W5" s="3">
        <f t="shared" ca="1" si="3"/>
        <v>20012.148699999998</v>
      </c>
      <c r="Y5" s="3">
        <f ca="1">Total!E5</f>
        <v>19969.536</v>
      </c>
      <c r="AB5" s="3">
        <f t="shared" ca="1" si="1"/>
        <v>2.7582513684843912E-3</v>
      </c>
      <c r="AC5" s="3">
        <f t="shared" ca="1" si="1"/>
        <v>1.4195622772606303E-3</v>
      </c>
      <c r="AD5" s="3">
        <f t="shared" ca="1" si="1"/>
        <v>1.3349834467861271E-3</v>
      </c>
      <c r="AE5" s="3">
        <f t="shared" ca="1" si="1"/>
        <v>1.1081879919493881E-3</v>
      </c>
      <c r="AF5" s="3">
        <f t="shared" ca="1" si="1"/>
        <v>1.3356845146526622E-3</v>
      </c>
      <c r="AG5" s="3">
        <f t="shared" ca="1" si="1"/>
        <v>3.3046836942029387E-3</v>
      </c>
      <c r="AH5" s="3">
        <f t="shared" ca="1" si="1"/>
        <v>3.1816963598954059E-3</v>
      </c>
      <c r="AI5" s="3">
        <f t="shared" ca="1" si="1"/>
        <v>5.0582046573339713E-3</v>
      </c>
      <c r="AJ5" s="3">
        <f t="shared" ca="1" si="1"/>
        <v>1.2101933665359715E-3</v>
      </c>
      <c r="AK5" s="3">
        <f t="shared" ca="1" si="1"/>
        <v>6.274056643078052E-4</v>
      </c>
      <c r="AM5" s="3">
        <f t="shared" ca="1" si="4"/>
        <v>2.1338853341409291E-2</v>
      </c>
    </row>
    <row r="6" spans="1:39" x14ac:dyDescent="0.25">
      <c r="A6" s="3" t="s">
        <v>2</v>
      </c>
      <c r="B6" s="3">
        <v>24</v>
      </c>
      <c r="C6" s="3">
        <v>1</v>
      </c>
      <c r="D6" s="3">
        <v>56016.461000000003</v>
      </c>
      <c r="E6" s="3">
        <v>1.24</v>
      </c>
      <c r="F6" s="3">
        <v>158</v>
      </c>
      <c r="H6" s="3" t="s">
        <v>1</v>
      </c>
      <c r="I6" s="3">
        <v>50</v>
      </c>
      <c r="J6" s="3">
        <v>1</v>
      </c>
      <c r="L6" s="3">
        <f t="shared" ca="1" si="2"/>
        <v>35335.472999999998</v>
      </c>
      <c r="M6" s="3">
        <f t="shared" ca="1" si="0"/>
        <v>35358.019999999997</v>
      </c>
      <c r="N6" s="3">
        <f t="shared" ca="1" si="0"/>
        <v>35277.981</v>
      </c>
      <c r="O6" s="3">
        <f t="shared" ca="1" si="0"/>
        <v>35380.612000000001</v>
      </c>
      <c r="P6" s="3">
        <f t="shared" ca="1" si="0"/>
        <v>35320.432999999997</v>
      </c>
      <c r="Q6" s="3">
        <f t="shared" ca="1" si="0"/>
        <v>35335.733</v>
      </c>
      <c r="R6" s="3">
        <f t="shared" ca="1" si="0"/>
        <v>35404.837</v>
      </c>
      <c r="S6" s="3">
        <f t="shared" ca="1" si="0"/>
        <v>35279.078000000001</v>
      </c>
      <c r="T6" s="3">
        <f t="shared" ca="1" si="0"/>
        <v>35389.523999999998</v>
      </c>
      <c r="U6" s="3">
        <f t="shared" ca="1" si="0"/>
        <v>35407.383999999998</v>
      </c>
      <c r="W6" s="3">
        <f t="shared" ca="1" si="3"/>
        <v>35348.907499999994</v>
      </c>
      <c r="Y6" s="3">
        <f ca="1">Total!E6</f>
        <v>35277.981</v>
      </c>
      <c r="AB6" s="3">
        <f t="shared" ca="1" si="1"/>
        <v>1.6296851001761799E-3</v>
      </c>
      <c r="AC6" s="3">
        <f t="shared" ca="1" si="1"/>
        <v>2.2688089774751292E-3</v>
      </c>
      <c r="AD6" s="3">
        <f t="shared" ca="1" si="1"/>
        <v>0</v>
      </c>
      <c r="AE6" s="3">
        <f t="shared" ca="1" si="1"/>
        <v>2.9092084379772534E-3</v>
      </c>
      <c r="AF6" s="3">
        <f t="shared" ca="1" si="1"/>
        <v>1.2033568474340269E-3</v>
      </c>
      <c r="AG6" s="3">
        <f t="shared" ca="1" si="1"/>
        <v>1.6370551364603436E-3</v>
      </c>
      <c r="AH6" s="3">
        <f t="shared" ca="1" si="1"/>
        <v>3.595897395602083E-3</v>
      </c>
      <c r="AI6" s="3">
        <f t="shared" ca="1" si="1"/>
        <v>3.1095883860291542E-5</v>
      </c>
      <c r="AJ6" s="3">
        <f t="shared" ca="1" si="1"/>
        <v>3.1618306047615889E-3</v>
      </c>
      <c r="AK6" s="3">
        <f t="shared" ca="1" si="1"/>
        <v>3.6680954048928828E-3</v>
      </c>
      <c r="AM6" s="3">
        <f t="shared" ca="1" si="4"/>
        <v>2.010503378863978E-2</v>
      </c>
    </row>
    <row r="7" spans="1:39" x14ac:dyDescent="0.25">
      <c r="A7" s="3" t="s">
        <v>2</v>
      </c>
      <c r="B7" s="3">
        <v>24</v>
      </c>
      <c r="C7" s="3">
        <v>1</v>
      </c>
      <c r="D7" s="3">
        <v>56005.93</v>
      </c>
      <c r="E7" s="3">
        <v>1.236</v>
      </c>
      <c r="F7" s="3">
        <v>150</v>
      </c>
      <c r="H7" s="3" t="s">
        <v>1</v>
      </c>
      <c r="I7" s="3">
        <v>100</v>
      </c>
      <c r="J7" s="3">
        <v>1</v>
      </c>
      <c r="L7" s="3">
        <f t="shared" ca="1" si="2"/>
        <v>63110.059000000001</v>
      </c>
      <c r="M7" s="3">
        <f t="shared" ca="1" si="0"/>
        <v>63203.413999999997</v>
      </c>
      <c r="N7" s="3">
        <f t="shared" ca="1" si="0"/>
        <v>63078.921999999999</v>
      </c>
      <c r="O7" s="3">
        <f t="shared" ca="1" si="0"/>
        <v>63206.097999999998</v>
      </c>
      <c r="P7" s="3">
        <f t="shared" ca="1" si="0"/>
        <v>63248.277999999998</v>
      </c>
      <c r="Q7" s="3">
        <f t="shared" ca="1" si="0"/>
        <v>63185.521000000001</v>
      </c>
      <c r="R7" s="3">
        <f t="shared" ca="1" si="0"/>
        <v>63148.428</v>
      </c>
      <c r="S7" s="3">
        <f t="shared" ca="1" si="0"/>
        <v>63183.269</v>
      </c>
      <c r="T7" s="3">
        <f t="shared" ca="1" si="0"/>
        <v>63155.794000000002</v>
      </c>
      <c r="U7" s="3">
        <f t="shared" ca="1" si="0"/>
        <v>63209.021999999997</v>
      </c>
      <c r="W7" s="3">
        <f t="shared" ca="1" si="3"/>
        <v>63172.880500000007</v>
      </c>
      <c r="Y7" s="3">
        <f ca="1">Total!E7</f>
        <v>63035.512000000002</v>
      </c>
      <c r="AB7" s="3">
        <f t="shared" ca="1" si="1"/>
        <v>1.1826190925521261E-3</v>
      </c>
      <c r="AC7" s="3">
        <f t="shared" ca="1" si="1"/>
        <v>2.6636096808414053E-3</v>
      </c>
      <c r="AD7" s="3">
        <f t="shared" ca="1" si="1"/>
        <v>6.8865943374896697E-4</v>
      </c>
      <c r="AE7" s="3">
        <f t="shared" ca="1" si="1"/>
        <v>2.7061888543079603E-3</v>
      </c>
      <c r="AF7" s="3">
        <f t="shared" ca="1" si="1"/>
        <v>3.3753354775637578E-3</v>
      </c>
      <c r="AG7" s="3">
        <f t="shared" ca="1" si="1"/>
        <v>2.3797538124224037E-3</v>
      </c>
      <c r="AH7" s="3">
        <f t="shared" ca="1" si="1"/>
        <v>1.7913077314260163E-3</v>
      </c>
      <c r="AI7" s="3">
        <f t="shared" ca="1" si="1"/>
        <v>2.3440279187388496E-3</v>
      </c>
      <c r="AJ7" s="3">
        <f t="shared" ca="1" si="1"/>
        <v>1.9081624973554469E-3</v>
      </c>
      <c r="AK7" s="3">
        <f t="shared" ca="1" si="1"/>
        <v>2.7525754054316992E-3</v>
      </c>
      <c r="AM7" s="3">
        <f t="shared" ca="1" si="4"/>
        <v>2.1792239904388631E-2</v>
      </c>
    </row>
    <row r="8" spans="1:39" x14ac:dyDescent="0.25">
      <c r="A8" s="3" t="s">
        <v>2</v>
      </c>
      <c r="B8" s="3">
        <v>24</v>
      </c>
      <c r="C8" s="3">
        <v>1</v>
      </c>
      <c r="D8" s="3">
        <v>55973.517</v>
      </c>
      <c r="E8" s="3">
        <v>1.2410000000000001</v>
      </c>
      <c r="F8" s="3">
        <v>152</v>
      </c>
      <c r="H8" s="3" t="s">
        <v>0</v>
      </c>
      <c r="I8" s="3">
        <v>25</v>
      </c>
      <c r="J8" s="3">
        <v>1</v>
      </c>
      <c r="L8" s="3">
        <f t="shared" ca="1" si="2"/>
        <v>723.48299999999995</v>
      </c>
      <c r="M8" s="3">
        <f t="shared" ca="1" si="0"/>
        <v>723.548</v>
      </c>
      <c r="N8" s="3">
        <f t="shared" ca="1" si="0"/>
        <v>723.79499999999996</v>
      </c>
      <c r="O8" s="3">
        <f t="shared" ca="1" si="0"/>
        <v>723.64599999999996</v>
      </c>
      <c r="P8" s="3">
        <f t="shared" ca="1" si="0"/>
        <v>723.38099999999997</v>
      </c>
      <c r="Q8" s="3">
        <f t="shared" ca="1" si="0"/>
        <v>723.89499999999998</v>
      </c>
      <c r="R8" s="3">
        <f t="shared" ca="1" si="0"/>
        <v>723.625</v>
      </c>
      <c r="S8" s="3">
        <f t="shared" ca="1" si="0"/>
        <v>723.52800000000002</v>
      </c>
      <c r="T8" s="3">
        <f t="shared" ca="1" si="0"/>
        <v>722.96500000000003</v>
      </c>
      <c r="U8" s="3">
        <f t="shared" ca="1" si="0"/>
        <v>723.36199999999997</v>
      </c>
      <c r="W8" s="3">
        <f t="shared" ca="1" si="3"/>
        <v>723.52279999999996</v>
      </c>
      <c r="Y8" s="3">
        <f ca="1">Total!E8</f>
        <v>722.92</v>
      </c>
      <c r="AB8" s="3">
        <f t="shared" ca="1" si="1"/>
        <v>7.787860344159633E-4</v>
      </c>
      <c r="AC8" s="3">
        <f t="shared" ca="1" si="1"/>
        <v>8.6869916449958888E-4</v>
      </c>
      <c r="AD8" s="3">
        <f t="shared" ca="1" si="1"/>
        <v>1.21036905881702E-3</v>
      </c>
      <c r="AE8" s="3">
        <f t="shared" ca="1" si="1"/>
        <v>1.0042604990870348E-3</v>
      </c>
      <c r="AF8" s="3">
        <f t="shared" ca="1" si="1"/>
        <v>6.3769158413104184E-4</v>
      </c>
      <c r="AG8" s="3">
        <f t="shared" ca="1" si="1"/>
        <v>1.3486969512532822E-3</v>
      </c>
      <c r="AH8" s="3">
        <f t="shared" ca="1" si="1"/>
        <v>9.7521164167548415E-4</v>
      </c>
      <c r="AI8" s="3">
        <f t="shared" ca="1" si="1"/>
        <v>8.410335860123679E-4</v>
      </c>
      <c r="AJ8" s="3">
        <f t="shared" ca="1" si="1"/>
        <v>6.2247551596404527E-5</v>
      </c>
      <c r="AK8" s="3">
        <f t="shared" ca="1" si="1"/>
        <v>6.1140928456815044E-4</v>
      </c>
      <c r="AM8" s="3">
        <f t="shared" ca="1" si="4"/>
        <v>8.3384053560563373E-3</v>
      </c>
    </row>
    <row r="9" spans="1:39" x14ac:dyDescent="0.25">
      <c r="A9" s="3" t="s">
        <v>2</v>
      </c>
      <c r="B9" s="3">
        <v>24</v>
      </c>
      <c r="C9" s="3">
        <v>1</v>
      </c>
      <c r="D9" s="3">
        <v>56010.341</v>
      </c>
      <c r="E9" s="3">
        <v>1.2410000000000001</v>
      </c>
      <c r="F9" s="3">
        <v>155</v>
      </c>
      <c r="H9" s="3" t="s">
        <v>0</v>
      </c>
      <c r="I9" s="3">
        <v>50</v>
      </c>
      <c r="J9" s="3">
        <v>1</v>
      </c>
      <c r="L9" s="3">
        <f t="shared" ca="1" si="2"/>
        <v>1570.17</v>
      </c>
      <c r="M9" s="3">
        <f t="shared" ca="1" si="0"/>
        <v>1571.3689999999999</v>
      </c>
      <c r="N9" s="3">
        <f t="shared" ca="1" si="0"/>
        <v>1570.941</v>
      </c>
      <c r="O9" s="3">
        <f t="shared" ca="1" si="0"/>
        <v>1571.963</v>
      </c>
      <c r="P9" s="3">
        <f t="shared" ca="1" si="0"/>
        <v>1571.048</v>
      </c>
      <c r="Q9" s="3">
        <f t="shared" ca="1" si="0"/>
        <v>1571.3810000000001</v>
      </c>
      <c r="R9" s="3">
        <f t="shared" ca="1" si="0"/>
        <v>1571.136</v>
      </c>
      <c r="S9" s="3">
        <f t="shared" ca="1" si="0"/>
        <v>1572.1120000000001</v>
      </c>
      <c r="T9" s="3">
        <f t="shared" ca="1" si="0"/>
        <v>1571.922</v>
      </c>
      <c r="U9" s="3">
        <f t="shared" ca="1" si="0"/>
        <v>1570.9939999999999</v>
      </c>
      <c r="W9" s="3">
        <f t="shared" ca="1" si="3"/>
        <v>1571.3036</v>
      </c>
      <c r="Y9" s="3">
        <f ca="1">Total!E9</f>
        <v>1570.17</v>
      </c>
      <c r="AB9" s="3">
        <f t="shared" ca="1" si="1"/>
        <v>0</v>
      </c>
      <c r="AC9" s="3">
        <f t="shared" ca="1" si="1"/>
        <v>7.6361158345901502E-4</v>
      </c>
      <c r="AD9" s="3">
        <f t="shared" ca="1" si="1"/>
        <v>4.9102963373390024E-4</v>
      </c>
      <c r="AE9" s="3">
        <f t="shared" ca="1" si="1"/>
        <v>1.1419145697598939E-3</v>
      </c>
      <c r="AF9" s="3">
        <f t="shared" ca="1" si="1"/>
        <v>5.5917512116517899E-4</v>
      </c>
      <c r="AG9" s="3">
        <f t="shared" ca="1" si="1"/>
        <v>7.7125406803085826E-4</v>
      </c>
      <c r="AH9" s="3">
        <f t="shared" ca="1" si="1"/>
        <v>6.1522000802454162E-4</v>
      </c>
      <c r="AI9" s="3">
        <f t="shared" ca="1" si="1"/>
        <v>1.2368087531923341E-3</v>
      </c>
      <c r="AJ9" s="3">
        <f t="shared" ca="1" si="1"/>
        <v>1.1158027474731734E-3</v>
      </c>
      <c r="AK9" s="3">
        <f t="shared" ca="1" si="1"/>
        <v>5.2478394059231911E-4</v>
      </c>
      <c r="AM9" s="3">
        <f t="shared" ca="1" si="4"/>
        <v>7.2196004254312142E-3</v>
      </c>
    </row>
    <row r="10" spans="1:39" x14ac:dyDescent="0.25">
      <c r="A10" s="3" t="s">
        <v>2</v>
      </c>
      <c r="B10" s="3">
        <v>24</v>
      </c>
      <c r="C10" s="3">
        <v>1</v>
      </c>
      <c r="D10" s="3">
        <v>56036.877</v>
      </c>
      <c r="E10" s="3">
        <v>1.2410000000000001</v>
      </c>
      <c r="F10" s="3">
        <v>149</v>
      </c>
      <c r="H10" s="3" t="s">
        <v>28</v>
      </c>
      <c r="I10" s="3">
        <v>100</v>
      </c>
      <c r="J10" s="3">
        <v>1</v>
      </c>
      <c r="L10" s="3">
        <f t="shared" ca="1" si="2"/>
        <v>3305.2550000000001</v>
      </c>
      <c r="M10" s="3">
        <f t="shared" ca="1" si="0"/>
        <v>3295.0970000000002</v>
      </c>
      <c r="N10" s="3">
        <f t="shared" ca="1" si="0"/>
        <v>3324.5889999999999</v>
      </c>
      <c r="O10" s="3">
        <f t="shared" ca="1" si="0"/>
        <v>3303.712</v>
      </c>
      <c r="P10" s="3">
        <f t="shared" ca="1" si="0"/>
        <v>3324.6909999999998</v>
      </c>
      <c r="Q10" s="3">
        <f t="shared" ca="1" si="0"/>
        <v>3310.527</v>
      </c>
      <c r="R10" s="3">
        <f t="shared" ca="1" si="0"/>
        <v>3304.1889999999999</v>
      </c>
      <c r="S10" s="3">
        <f t="shared" ca="1" si="0"/>
        <v>3300.509</v>
      </c>
      <c r="T10" s="3">
        <f t="shared" ca="1" si="0"/>
        <v>3298.9389999999999</v>
      </c>
      <c r="U10" s="3">
        <f t="shared" ca="1" si="0"/>
        <v>3306.38</v>
      </c>
      <c r="W10" s="3">
        <f t="shared" ca="1" si="3"/>
        <v>3307.3887999999993</v>
      </c>
      <c r="Y10" s="3">
        <f ca="1">Total!E10</f>
        <v>3290.5340000000001</v>
      </c>
      <c r="AB10" s="3">
        <f t="shared" ca="1" si="1"/>
        <v>4.4737419519141888E-3</v>
      </c>
      <c r="AC10" s="3">
        <f t="shared" ca="1" si="1"/>
        <v>1.386705015052299E-3</v>
      </c>
      <c r="AD10" s="3">
        <f t="shared" ca="1" si="1"/>
        <v>1.0349384020952172E-2</v>
      </c>
      <c r="AE10" s="3">
        <f t="shared" ca="1" si="1"/>
        <v>4.0048211019852349E-3</v>
      </c>
      <c r="AF10" s="3">
        <f t="shared" ca="1" si="1"/>
        <v>1.038038202917815E-2</v>
      </c>
      <c r="AG10" s="3">
        <f t="shared" ca="1" si="1"/>
        <v>6.0759135143414224E-3</v>
      </c>
      <c r="AH10" s="3">
        <f t="shared" ca="1" si="1"/>
        <v>4.1497823757480536E-3</v>
      </c>
      <c r="AI10" s="3">
        <f t="shared" ca="1" si="1"/>
        <v>3.0314228632799139E-3</v>
      </c>
      <c r="AJ10" s="3">
        <f t="shared" ca="1" si="1"/>
        <v>2.5542966582322944E-3</v>
      </c>
      <c r="AK10" s="3">
        <f t="shared" ca="1" si="1"/>
        <v>4.8156317485247083E-3</v>
      </c>
      <c r="AM10" s="3">
        <f t="shared" ca="1" si="4"/>
        <v>5.122208127920843E-2</v>
      </c>
    </row>
    <row r="11" spans="1:39" x14ac:dyDescent="0.25">
      <c r="A11" s="3" t="s">
        <v>2</v>
      </c>
      <c r="B11" s="3">
        <v>47</v>
      </c>
      <c r="C11" s="3">
        <v>1</v>
      </c>
      <c r="D11" s="3">
        <v>126298.181</v>
      </c>
      <c r="E11" s="3">
        <v>4.1420000000000003</v>
      </c>
      <c r="F11" s="3">
        <v>143</v>
      </c>
    </row>
    <row r="12" spans="1:39" x14ac:dyDescent="0.25">
      <c r="A12" s="3" t="s">
        <v>2</v>
      </c>
      <c r="B12" s="3">
        <v>47</v>
      </c>
      <c r="C12" s="3">
        <v>1</v>
      </c>
      <c r="D12" s="3">
        <v>126194.007</v>
      </c>
      <c r="E12" s="3">
        <v>4.1529999999999996</v>
      </c>
      <c r="F12" s="3">
        <v>151</v>
      </c>
    </row>
    <row r="13" spans="1:39" x14ac:dyDescent="0.25">
      <c r="A13" s="3" t="s">
        <v>2</v>
      </c>
      <c r="B13" s="3">
        <v>47</v>
      </c>
      <c r="C13" s="3">
        <v>1</v>
      </c>
      <c r="D13" s="3">
        <v>126258.497</v>
      </c>
      <c r="E13" s="3">
        <v>4.1550000000000002</v>
      </c>
      <c r="F13" s="3">
        <v>148</v>
      </c>
    </row>
    <row r="14" spans="1:39" x14ac:dyDescent="0.25">
      <c r="A14" s="3" t="s">
        <v>2</v>
      </c>
      <c r="B14" s="3">
        <v>47</v>
      </c>
      <c r="C14" s="3">
        <v>1</v>
      </c>
      <c r="D14" s="3">
        <v>126221.72100000001</v>
      </c>
      <c r="E14" s="3">
        <v>4.141</v>
      </c>
      <c r="F14" s="3">
        <v>142</v>
      </c>
    </row>
    <row r="15" spans="1:39" x14ac:dyDescent="0.25">
      <c r="A15" s="3" t="s">
        <v>2</v>
      </c>
      <c r="B15" s="3">
        <v>47</v>
      </c>
      <c r="C15" s="3">
        <v>1</v>
      </c>
      <c r="D15" s="3">
        <v>126493.133</v>
      </c>
      <c r="E15" s="3">
        <v>4.1479999999999997</v>
      </c>
      <c r="F15" s="3">
        <v>140</v>
      </c>
    </row>
    <row r="16" spans="1:39" x14ac:dyDescent="0.25">
      <c r="A16" s="3" t="s">
        <v>2</v>
      </c>
      <c r="B16" s="3">
        <v>47</v>
      </c>
      <c r="C16" s="3">
        <v>1</v>
      </c>
      <c r="D16" s="3">
        <v>126245.74800000001</v>
      </c>
      <c r="E16" s="3">
        <v>4.1479999999999997</v>
      </c>
      <c r="F16" s="3">
        <v>145</v>
      </c>
    </row>
    <row r="17" spans="1:6" x14ac:dyDescent="0.25">
      <c r="A17" s="3" t="s">
        <v>2</v>
      </c>
      <c r="B17" s="3">
        <v>47</v>
      </c>
      <c r="C17" s="3">
        <v>1</v>
      </c>
      <c r="D17" s="3">
        <v>126240.70699999999</v>
      </c>
      <c r="E17" s="3">
        <v>4.141</v>
      </c>
      <c r="F17" s="3">
        <v>145</v>
      </c>
    </row>
    <row r="18" spans="1:6" x14ac:dyDescent="0.25">
      <c r="A18" s="3" t="s">
        <v>2</v>
      </c>
      <c r="B18" s="3">
        <v>47</v>
      </c>
      <c r="C18" s="3">
        <v>1</v>
      </c>
      <c r="D18" s="3">
        <v>126314.629</v>
      </c>
      <c r="E18" s="3">
        <v>4.1509999999999998</v>
      </c>
      <c r="F18" s="3">
        <v>141</v>
      </c>
    </row>
    <row r="19" spans="1:6" x14ac:dyDescent="0.25">
      <c r="A19" s="3" t="s">
        <v>2</v>
      </c>
      <c r="B19" s="3">
        <v>47</v>
      </c>
      <c r="C19" s="3">
        <v>1</v>
      </c>
      <c r="D19" s="3">
        <v>126237.446</v>
      </c>
      <c r="E19" s="3">
        <v>4.1520000000000001</v>
      </c>
      <c r="F19" s="3">
        <v>143</v>
      </c>
    </row>
    <row r="20" spans="1:6" x14ac:dyDescent="0.25">
      <c r="A20" s="3" t="s">
        <v>2</v>
      </c>
      <c r="B20" s="3">
        <v>47</v>
      </c>
      <c r="C20" s="3">
        <v>1</v>
      </c>
      <c r="D20" s="3">
        <v>126326.766</v>
      </c>
      <c r="E20" s="3">
        <v>4.1580000000000004</v>
      </c>
      <c r="F20" s="3">
        <v>144</v>
      </c>
    </row>
    <row r="21" spans="1:6" x14ac:dyDescent="0.25">
      <c r="A21" s="3" t="s">
        <v>2</v>
      </c>
      <c r="B21" s="3">
        <v>100</v>
      </c>
      <c r="C21" s="3">
        <v>1</v>
      </c>
      <c r="D21" s="3">
        <v>1217045.243</v>
      </c>
      <c r="E21" s="3">
        <v>22.087</v>
      </c>
      <c r="F21" s="3">
        <v>157</v>
      </c>
    </row>
    <row r="22" spans="1:6" x14ac:dyDescent="0.25">
      <c r="A22" s="3" t="s">
        <v>2</v>
      </c>
      <c r="B22" s="3">
        <v>100</v>
      </c>
      <c r="C22" s="3">
        <v>1</v>
      </c>
      <c r="D22" s="3">
        <v>1217344.8629999999</v>
      </c>
      <c r="E22" s="3">
        <v>22.108000000000001</v>
      </c>
      <c r="F22" s="3">
        <v>157</v>
      </c>
    </row>
    <row r="23" spans="1:6" x14ac:dyDescent="0.25">
      <c r="A23" s="3" t="s">
        <v>2</v>
      </c>
      <c r="B23" s="3">
        <v>100</v>
      </c>
      <c r="C23" s="3">
        <v>1</v>
      </c>
      <c r="D23" s="3">
        <v>1216927.75</v>
      </c>
      <c r="E23" s="3">
        <v>22.065999999999999</v>
      </c>
      <c r="F23" s="3">
        <v>154</v>
      </c>
    </row>
    <row r="24" spans="1:6" x14ac:dyDescent="0.25">
      <c r="A24" s="3" t="s">
        <v>2</v>
      </c>
      <c r="B24" s="3">
        <v>100</v>
      </c>
      <c r="C24" s="3">
        <v>1</v>
      </c>
      <c r="D24" s="3">
        <v>1217247.6129999999</v>
      </c>
      <c r="E24" s="3">
        <v>22.096</v>
      </c>
      <c r="F24" s="3">
        <v>157</v>
      </c>
    </row>
    <row r="25" spans="1:6" x14ac:dyDescent="0.25">
      <c r="A25" s="3" t="s">
        <v>2</v>
      </c>
      <c r="B25" s="3">
        <v>100</v>
      </c>
      <c r="C25" s="3">
        <v>1</v>
      </c>
      <c r="D25" s="3">
        <v>1216875.5449999999</v>
      </c>
      <c r="E25" s="3">
        <v>22.114999999999998</v>
      </c>
      <c r="F25" s="3">
        <v>156</v>
      </c>
    </row>
    <row r="26" spans="1:6" x14ac:dyDescent="0.25">
      <c r="A26" s="3" t="s">
        <v>2</v>
      </c>
      <c r="B26" s="3">
        <v>100</v>
      </c>
      <c r="C26" s="3">
        <v>1</v>
      </c>
      <c r="D26" s="3">
        <v>1217335.453</v>
      </c>
      <c r="E26" s="3">
        <v>22.146999999999998</v>
      </c>
      <c r="F26" s="3">
        <v>154</v>
      </c>
    </row>
    <row r="27" spans="1:6" x14ac:dyDescent="0.25">
      <c r="A27" s="3" t="s">
        <v>2</v>
      </c>
      <c r="B27" s="3">
        <v>100</v>
      </c>
      <c r="C27" s="3">
        <v>1</v>
      </c>
      <c r="D27" s="3">
        <v>1217215.9169999999</v>
      </c>
      <c r="E27" s="3">
        <v>22.102</v>
      </c>
      <c r="F27" s="3">
        <v>156</v>
      </c>
    </row>
    <row r="28" spans="1:6" x14ac:dyDescent="0.25">
      <c r="A28" s="3" t="s">
        <v>2</v>
      </c>
      <c r="B28" s="3">
        <v>100</v>
      </c>
      <c r="C28" s="3">
        <v>1</v>
      </c>
      <c r="D28" s="3">
        <v>1216756.385</v>
      </c>
      <c r="E28" s="3">
        <v>22.11</v>
      </c>
      <c r="F28" s="3">
        <v>156</v>
      </c>
    </row>
    <row r="29" spans="1:6" x14ac:dyDescent="0.25">
      <c r="A29" s="3" t="s">
        <v>2</v>
      </c>
      <c r="B29" s="3">
        <v>100</v>
      </c>
      <c r="C29" s="3">
        <v>1</v>
      </c>
      <c r="D29" s="3">
        <v>1216937.547</v>
      </c>
      <c r="E29" s="3">
        <v>22.135000000000002</v>
      </c>
      <c r="F29" s="3">
        <v>157</v>
      </c>
    </row>
    <row r="30" spans="1:6" x14ac:dyDescent="0.25">
      <c r="A30" s="3" t="s">
        <v>2</v>
      </c>
      <c r="B30" s="3">
        <v>100</v>
      </c>
      <c r="C30" s="3">
        <v>1</v>
      </c>
      <c r="D30" s="3">
        <v>1216819.121</v>
      </c>
      <c r="E30" s="3">
        <v>22.138999999999999</v>
      </c>
      <c r="F30" s="3">
        <v>157</v>
      </c>
    </row>
    <row r="31" spans="1:6" x14ac:dyDescent="0.25">
      <c r="A31" s="3" t="s">
        <v>1</v>
      </c>
      <c r="B31" s="3">
        <v>30</v>
      </c>
      <c r="C31" s="3">
        <v>1</v>
      </c>
      <c r="D31" s="3">
        <v>20024.616999999998</v>
      </c>
      <c r="E31" s="3">
        <v>1.349</v>
      </c>
      <c r="F31" s="3">
        <v>100</v>
      </c>
    </row>
    <row r="32" spans="1:6" x14ac:dyDescent="0.25">
      <c r="A32" s="3" t="s">
        <v>1</v>
      </c>
      <c r="B32" s="3">
        <v>30</v>
      </c>
      <c r="C32" s="3">
        <v>1</v>
      </c>
      <c r="D32" s="3">
        <v>19997.883999999998</v>
      </c>
      <c r="E32" s="3">
        <v>1.355</v>
      </c>
      <c r="F32" s="3">
        <v>102</v>
      </c>
    </row>
    <row r="33" spans="1:6" x14ac:dyDescent="0.25">
      <c r="A33" s="3" t="s">
        <v>1</v>
      </c>
      <c r="B33" s="3">
        <v>30</v>
      </c>
      <c r="C33" s="3">
        <v>1</v>
      </c>
      <c r="D33" s="3">
        <v>19996.195</v>
      </c>
      <c r="E33" s="3">
        <v>1.3839999999999999</v>
      </c>
      <c r="F33" s="3">
        <v>105</v>
      </c>
    </row>
    <row r="34" spans="1:6" x14ac:dyDescent="0.25">
      <c r="A34" s="3" t="s">
        <v>1</v>
      </c>
      <c r="B34" s="3">
        <v>30</v>
      </c>
      <c r="C34" s="3">
        <v>1</v>
      </c>
      <c r="D34" s="3">
        <v>19991.666000000001</v>
      </c>
      <c r="E34" s="3">
        <v>1.349</v>
      </c>
      <c r="F34" s="3">
        <v>107</v>
      </c>
    </row>
    <row r="35" spans="1:6" x14ac:dyDescent="0.25">
      <c r="A35" s="3" t="s">
        <v>1</v>
      </c>
      <c r="B35" s="3">
        <v>30</v>
      </c>
      <c r="C35" s="3">
        <v>1</v>
      </c>
      <c r="D35" s="3">
        <v>19996.208999999999</v>
      </c>
      <c r="E35" s="3">
        <v>1.3480000000000001</v>
      </c>
      <c r="F35" s="3">
        <v>96</v>
      </c>
    </row>
    <row r="36" spans="1:6" x14ac:dyDescent="0.25">
      <c r="A36" s="3" t="s">
        <v>1</v>
      </c>
      <c r="B36" s="3">
        <v>30</v>
      </c>
      <c r="C36" s="3">
        <v>1</v>
      </c>
      <c r="D36" s="3">
        <v>20035.528999999999</v>
      </c>
      <c r="E36" s="3">
        <v>1.351</v>
      </c>
      <c r="F36" s="3">
        <v>99</v>
      </c>
    </row>
    <row r="37" spans="1:6" x14ac:dyDescent="0.25">
      <c r="A37" s="3" t="s">
        <v>1</v>
      </c>
      <c r="B37" s="3">
        <v>30</v>
      </c>
      <c r="C37" s="3">
        <v>1</v>
      </c>
      <c r="D37" s="3">
        <v>20033.073</v>
      </c>
      <c r="E37" s="3">
        <v>1.3520000000000001</v>
      </c>
      <c r="F37" s="3">
        <v>105</v>
      </c>
    </row>
    <row r="38" spans="1:6" x14ac:dyDescent="0.25">
      <c r="A38" s="3" t="s">
        <v>1</v>
      </c>
      <c r="B38" s="3">
        <v>30</v>
      </c>
      <c r="C38" s="3">
        <v>1</v>
      </c>
      <c r="D38" s="3">
        <v>20070.545999999998</v>
      </c>
      <c r="E38" s="3">
        <v>1.35</v>
      </c>
      <c r="F38" s="3">
        <v>102</v>
      </c>
    </row>
    <row r="39" spans="1:6" x14ac:dyDescent="0.25">
      <c r="A39" s="3" t="s">
        <v>1</v>
      </c>
      <c r="B39" s="3">
        <v>30</v>
      </c>
      <c r="C39" s="3">
        <v>1</v>
      </c>
      <c r="D39" s="3">
        <v>19993.703000000001</v>
      </c>
      <c r="E39" s="3">
        <v>1.35</v>
      </c>
      <c r="F39" s="3">
        <v>104</v>
      </c>
    </row>
    <row r="40" spans="1:6" x14ac:dyDescent="0.25">
      <c r="A40" s="3" t="s">
        <v>1</v>
      </c>
      <c r="B40" s="3">
        <v>30</v>
      </c>
      <c r="C40" s="3">
        <v>1</v>
      </c>
      <c r="D40" s="3">
        <v>19982.064999999999</v>
      </c>
      <c r="E40" s="3">
        <v>1.353</v>
      </c>
      <c r="F40" s="3">
        <v>104</v>
      </c>
    </row>
    <row r="41" spans="1:6" x14ac:dyDescent="0.25">
      <c r="A41" s="3" t="s">
        <v>1</v>
      </c>
      <c r="B41" s="3">
        <v>50</v>
      </c>
      <c r="C41" s="3">
        <v>1</v>
      </c>
      <c r="D41" s="3">
        <v>35335.472999999998</v>
      </c>
      <c r="E41" s="3">
        <v>3.0379999999999998</v>
      </c>
      <c r="F41" s="3">
        <v>90</v>
      </c>
    </row>
    <row r="42" spans="1:6" x14ac:dyDescent="0.25">
      <c r="A42" s="3" t="s">
        <v>1</v>
      </c>
      <c r="B42" s="3">
        <v>50</v>
      </c>
      <c r="C42" s="3">
        <v>1</v>
      </c>
      <c r="D42" s="3">
        <v>35358.019999999997</v>
      </c>
      <c r="E42" s="3">
        <v>3.0329999999999999</v>
      </c>
      <c r="F42" s="3">
        <v>88</v>
      </c>
    </row>
    <row r="43" spans="1:6" x14ac:dyDescent="0.25">
      <c r="A43" s="3" t="s">
        <v>1</v>
      </c>
      <c r="B43" s="3">
        <v>50</v>
      </c>
      <c r="C43" s="3">
        <v>1</v>
      </c>
      <c r="D43" s="3">
        <v>35277.981</v>
      </c>
      <c r="E43" s="3">
        <v>3.05</v>
      </c>
      <c r="F43" s="3">
        <v>88</v>
      </c>
    </row>
    <row r="44" spans="1:6" x14ac:dyDescent="0.25">
      <c r="A44" s="3" t="s">
        <v>1</v>
      </c>
      <c r="B44" s="3">
        <v>50</v>
      </c>
      <c r="C44" s="3">
        <v>1</v>
      </c>
      <c r="D44" s="3">
        <v>35380.612000000001</v>
      </c>
      <c r="E44" s="3">
        <v>3.0459999999999998</v>
      </c>
      <c r="F44" s="3">
        <v>89</v>
      </c>
    </row>
    <row r="45" spans="1:6" x14ac:dyDescent="0.25">
      <c r="A45" s="3" t="s">
        <v>1</v>
      </c>
      <c r="B45" s="3">
        <v>50</v>
      </c>
      <c r="C45" s="3">
        <v>1</v>
      </c>
      <c r="D45" s="3">
        <v>35320.432999999997</v>
      </c>
      <c r="E45" s="3">
        <v>3.0449999999999999</v>
      </c>
      <c r="F45" s="3">
        <v>89</v>
      </c>
    </row>
    <row r="46" spans="1:6" x14ac:dyDescent="0.25">
      <c r="A46" s="3" t="s">
        <v>1</v>
      </c>
      <c r="B46" s="3">
        <v>50</v>
      </c>
      <c r="C46" s="3">
        <v>1</v>
      </c>
      <c r="D46" s="3">
        <v>35335.733</v>
      </c>
      <c r="E46" s="3">
        <v>3.032</v>
      </c>
      <c r="F46" s="3">
        <v>91</v>
      </c>
    </row>
    <row r="47" spans="1:6" x14ac:dyDescent="0.25">
      <c r="A47" s="3" t="s">
        <v>1</v>
      </c>
      <c r="B47" s="3">
        <v>50</v>
      </c>
      <c r="C47" s="3">
        <v>1</v>
      </c>
      <c r="D47" s="3">
        <v>35404.837</v>
      </c>
      <c r="E47" s="3">
        <v>3.0459999999999998</v>
      </c>
      <c r="F47" s="3">
        <v>89</v>
      </c>
    </row>
    <row r="48" spans="1:6" x14ac:dyDescent="0.25">
      <c r="A48" s="3" t="s">
        <v>1</v>
      </c>
      <c r="B48" s="3">
        <v>50</v>
      </c>
      <c r="C48" s="3">
        <v>1</v>
      </c>
      <c r="D48" s="3">
        <v>35279.078000000001</v>
      </c>
      <c r="E48" s="3">
        <v>3.0329999999999999</v>
      </c>
      <c r="F48" s="3">
        <v>89</v>
      </c>
    </row>
    <row r="49" spans="1:6" x14ac:dyDescent="0.25">
      <c r="A49" s="3" t="s">
        <v>1</v>
      </c>
      <c r="B49" s="3">
        <v>50</v>
      </c>
      <c r="C49" s="3">
        <v>1</v>
      </c>
      <c r="D49" s="3">
        <v>35389.523999999998</v>
      </c>
      <c r="E49" s="3">
        <v>3.0459999999999998</v>
      </c>
      <c r="F49" s="3">
        <v>86</v>
      </c>
    </row>
    <row r="50" spans="1:6" x14ac:dyDescent="0.25">
      <c r="A50" s="3" t="s">
        <v>1</v>
      </c>
      <c r="B50" s="3">
        <v>50</v>
      </c>
      <c r="C50" s="3">
        <v>1</v>
      </c>
      <c r="D50" s="3">
        <v>35407.383999999998</v>
      </c>
      <c r="E50" s="3">
        <v>3.0350000000000001</v>
      </c>
      <c r="F50" s="3">
        <v>88</v>
      </c>
    </row>
    <row r="51" spans="1:6" x14ac:dyDescent="0.25">
      <c r="A51" s="3" t="s">
        <v>1</v>
      </c>
      <c r="B51" s="3">
        <v>100</v>
      </c>
      <c r="C51" s="3">
        <v>1</v>
      </c>
      <c r="D51" s="3">
        <v>63110.059000000001</v>
      </c>
      <c r="E51" s="3">
        <v>11.717000000000001</v>
      </c>
      <c r="F51" s="3">
        <v>85</v>
      </c>
    </row>
    <row r="52" spans="1:6" x14ac:dyDescent="0.25">
      <c r="A52" s="3" t="s">
        <v>1</v>
      </c>
      <c r="B52" s="3">
        <v>100</v>
      </c>
      <c r="C52" s="3">
        <v>1</v>
      </c>
      <c r="D52" s="3">
        <v>63203.413999999997</v>
      </c>
      <c r="E52" s="3">
        <v>11.682</v>
      </c>
      <c r="F52" s="3">
        <v>86</v>
      </c>
    </row>
    <row r="53" spans="1:6" x14ac:dyDescent="0.25">
      <c r="A53" s="3" t="s">
        <v>1</v>
      </c>
      <c r="B53" s="3">
        <v>100</v>
      </c>
      <c r="C53" s="3">
        <v>1</v>
      </c>
      <c r="D53" s="3">
        <v>63078.921999999999</v>
      </c>
      <c r="E53" s="3">
        <v>11.722</v>
      </c>
      <c r="F53" s="3">
        <v>86</v>
      </c>
    </row>
    <row r="54" spans="1:6" x14ac:dyDescent="0.25">
      <c r="A54" s="3" t="s">
        <v>1</v>
      </c>
      <c r="B54" s="3">
        <v>100</v>
      </c>
      <c r="C54" s="3">
        <v>1</v>
      </c>
      <c r="D54" s="3">
        <v>63206.097999999998</v>
      </c>
      <c r="E54" s="3">
        <v>11.704000000000001</v>
      </c>
      <c r="F54" s="3">
        <v>85</v>
      </c>
    </row>
    <row r="55" spans="1:6" x14ac:dyDescent="0.25">
      <c r="A55" s="3" t="s">
        <v>1</v>
      </c>
      <c r="B55" s="3">
        <v>100</v>
      </c>
      <c r="C55" s="3">
        <v>1</v>
      </c>
      <c r="D55" s="3">
        <v>63248.277999999998</v>
      </c>
      <c r="E55" s="3">
        <v>11.737</v>
      </c>
      <c r="F55" s="3">
        <v>86</v>
      </c>
    </row>
    <row r="56" spans="1:6" x14ac:dyDescent="0.25">
      <c r="A56" s="3" t="s">
        <v>1</v>
      </c>
      <c r="B56" s="3">
        <v>100</v>
      </c>
      <c r="C56" s="3">
        <v>1</v>
      </c>
      <c r="D56" s="3">
        <v>63185.521000000001</v>
      </c>
      <c r="E56" s="3">
        <v>11.695</v>
      </c>
      <c r="F56" s="3">
        <v>85</v>
      </c>
    </row>
    <row r="57" spans="1:6" x14ac:dyDescent="0.25">
      <c r="A57" s="3" t="s">
        <v>1</v>
      </c>
      <c r="B57" s="3">
        <v>100</v>
      </c>
      <c r="C57" s="3">
        <v>1</v>
      </c>
      <c r="D57" s="3">
        <v>63148.428</v>
      </c>
      <c r="E57" s="3">
        <v>11.747999999999999</v>
      </c>
      <c r="F57" s="3">
        <v>85</v>
      </c>
    </row>
    <row r="58" spans="1:6" x14ac:dyDescent="0.25">
      <c r="A58" s="3" t="s">
        <v>1</v>
      </c>
      <c r="B58" s="3">
        <v>100</v>
      </c>
      <c r="C58" s="3">
        <v>1</v>
      </c>
      <c r="D58" s="3">
        <v>63183.269</v>
      </c>
      <c r="E58" s="3">
        <v>11.741</v>
      </c>
      <c r="F58" s="3">
        <v>85</v>
      </c>
    </row>
    <row r="59" spans="1:6" x14ac:dyDescent="0.25">
      <c r="A59" s="3" t="s">
        <v>1</v>
      </c>
      <c r="B59" s="3">
        <v>100</v>
      </c>
      <c r="C59" s="3">
        <v>1</v>
      </c>
      <c r="D59" s="3">
        <v>63155.794000000002</v>
      </c>
      <c r="E59" s="3">
        <v>11.734999999999999</v>
      </c>
      <c r="F59" s="3">
        <v>87</v>
      </c>
    </row>
    <row r="60" spans="1:6" x14ac:dyDescent="0.25">
      <c r="A60" s="3" t="s">
        <v>1</v>
      </c>
      <c r="B60" s="3">
        <v>100</v>
      </c>
      <c r="C60" s="3">
        <v>1</v>
      </c>
      <c r="D60" s="3">
        <v>63209.021999999997</v>
      </c>
      <c r="E60" s="3">
        <v>11.678000000000001</v>
      </c>
      <c r="F60" s="3">
        <v>85</v>
      </c>
    </row>
    <row r="61" spans="1:6" x14ac:dyDescent="0.25">
      <c r="A61" s="3" t="s">
        <v>0</v>
      </c>
      <c r="B61" s="3">
        <v>25</v>
      </c>
      <c r="C61" s="3">
        <v>1</v>
      </c>
      <c r="D61" s="3">
        <v>723.48299999999995</v>
      </c>
      <c r="E61" s="3">
        <v>0.90700000000000003</v>
      </c>
      <c r="F61" s="3">
        <v>75</v>
      </c>
    </row>
    <row r="62" spans="1:6" x14ac:dyDescent="0.25">
      <c r="A62" s="3" t="s">
        <v>0</v>
      </c>
      <c r="B62" s="3">
        <v>25</v>
      </c>
      <c r="C62" s="3">
        <v>1</v>
      </c>
      <c r="D62" s="3">
        <v>723.548</v>
      </c>
      <c r="E62" s="3">
        <v>0.90400000000000003</v>
      </c>
      <c r="F62" s="3">
        <v>93</v>
      </c>
    </row>
    <row r="63" spans="1:6" x14ac:dyDescent="0.25">
      <c r="A63" s="3" t="s">
        <v>0</v>
      </c>
      <c r="B63" s="3">
        <v>25</v>
      </c>
      <c r="C63" s="3">
        <v>1</v>
      </c>
      <c r="D63" s="3">
        <v>723.79499999999996</v>
      </c>
      <c r="E63" s="3">
        <v>0.90400000000000003</v>
      </c>
      <c r="F63" s="3">
        <v>85</v>
      </c>
    </row>
    <row r="64" spans="1:6" x14ac:dyDescent="0.25">
      <c r="A64" s="3" t="s">
        <v>0</v>
      </c>
      <c r="B64" s="3">
        <v>25</v>
      </c>
      <c r="C64" s="3">
        <v>1</v>
      </c>
      <c r="D64" s="3">
        <v>723.64599999999996</v>
      </c>
      <c r="E64" s="3">
        <v>0.90700000000000003</v>
      </c>
      <c r="F64" s="3">
        <v>97</v>
      </c>
    </row>
    <row r="65" spans="1:6" x14ac:dyDescent="0.25">
      <c r="A65" s="3" t="s">
        <v>0</v>
      </c>
      <c r="B65" s="3">
        <v>25</v>
      </c>
      <c r="C65" s="3">
        <v>1</v>
      </c>
      <c r="D65" s="3">
        <v>723.38099999999997</v>
      </c>
      <c r="E65" s="3">
        <v>0.90300000000000002</v>
      </c>
      <c r="F65" s="3">
        <v>88</v>
      </c>
    </row>
    <row r="66" spans="1:6" x14ac:dyDescent="0.25">
      <c r="A66" s="3" t="s">
        <v>0</v>
      </c>
      <c r="B66" s="3">
        <v>25</v>
      </c>
      <c r="C66" s="3">
        <v>1</v>
      </c>
      <c r="D66" s="3">
        <v>723.89499999999998</v>
      </c>
      <c r="E66" s="3">
        <v>0.90300000000000002</v>
      </c>
      <c r="F66" s="3">
        <v>96</v>
      </c>
    </row>
    <row r="67" spans="1:6" x14ac:dyDescent="0.25">
      <c r="A67" s="3" t="s">
        <v>0</v>
      </c>
      <c r="B67" s="3">
        <v>25</v>
      </c>
      <c r="C67" s="3">
        <v>1</v>
      </c>
      <c r="D67" s="3">
        <v>723.625</v>
      </c>
      <c r="E67" s="3">
        <v>0.90500000000000003</v>
      </c>
      <c r="F67" s="3">
        <v>82</v>
      </c>
    </row>
    <row r="68" spans="1:6" x14ac:dyDescent="0.25">
      <c r="A68" s="3" t="s">
        <v>0</v>
      </c>
      <c r="B68" s="3">
        <v>25</v>
      </c>
      <c r="C68" s="3">
        <v>1</v>
      </c>
      <c r="D68" s="3">
        <v>723.52800000000002</v>
      </c>
      <c r="E68" s="3">
        <v>0.90600000000000003</v>
      </c>
      <c r="F68" s="3">
        <v>97</v>
      </c>
    </row>
    <row r="69" spans="1:6" x14ac:dyDescent="0.25">
      <c r="A69" s="3" t="s">
        <v>0</v>
      </c>
      <c r="B69" s="3">
        <v>25</v>
      </c>
      <c r="C69" s="3">
        <v>1</v>
      </c>
      <c r="D69" s="3">
        <v>722.96500000000003</v>
      </c>
      <c r="E69" s="3">
        <v>0.90600000000000003</v>
      </c>
      <c r="F69" s="3">
        <v>91</v>
      </c>
    </row>
    <row r="70" spans="1:6" x14ac:dyDescent="0.25">
      <c r="A70" s="3" t="s">
        <v>0</v>
      </c>
      <c r="B70" s="3">
        <v>25</v>
      </c>
      <c r="C70" s="3">
        <v>1</v>
      </c>
      <c r="D70" s="3">
        <v>723.36199999999997</v>
      </c>
      <c r="E70" s="3">
        <v>0.90400000000000003</v>
      </c>
      <c r="F70" s="3">
        <v>101</v>
      </c>
    </row>
    <row r="71" spans="1:6" x14ac:dyDescent="0.25">
      <c r="A71" s="3" t="s">
        <v>0</v>
      </c>
      <c r="B71" s="3">
        <v>50</v>
      </c>
      <c r="C71" s="3">
        <v>1</v>
      </c>
      <c r="D71" s="3">
        <v>1570.17</v>
      </c>
      <c r="E71" s="3">
        <v>3.3879999999999999</v>
      </c>
      <c r="F71" s="3">
        <v>104</v>
      </c>
    </row>
    <row r="72" spans="1:6" x14ac:dyDescent="0.25">
      <c r="A72" s="3" t="s">
        <v>0</v>
      </c>
      <c r="B72" s="3">
        <v>50</v>
      </c>
      <c r="C72" s="3">
        <v>1</v>
      </c>
      <c r="D72" s="3">
        <v>1571.3689999999999</v>
      </c>
      <c r="E72" s="3">
        <v>3.3809999999999998</v>
      </c>
      <c r="F72" s="3">
        <v>101</v>
      </c>
    </row>
    <row r="73" spans="1:6" x14ac:dyDescent="0.25">
      <c r="A73" s="3" t="s">
        <v>0</v>
      </c>
      <c r="B73" s="3">
        <v>50</v>
      </c>
      <c r="C73" s="3">
        <v>1</v>
      </c>
      <c r="D73" s="3">
        <v>1570.941</v>
      </c>
      <c r="E73" s="3">
        <v>3.3839999999999999</v>
      </c>
      <c r="F73" s="3">
        <v>101</v>
      </c>
    </row>
    <row r="74" spans="1:6" x14ac:dyDescent="0.25">
      <c r="A74" s="3" t="s">
        <v>0</v>
      </c>
      <c r="B74" s="3">
        <v>50</v>
      </c>
      <c r="C74" s="3">
        <v>1</v>
      </c>
      <c r="D74" s="3">
        <v>1571.963</v>
      </c>
      <c r="E74" s="3">
        <v>3.375</v>
      </c>
      <c r="F74" s="3">
        <v>99</v>
      </c>
    </row>
    <row r="75" spans="1:6" x14ac:dyDescent="0.25">
      <c r="A75" s="3" t="s">
        <v>0</v>
      </c>
      <c r="B75" s="3">
        <v>50</v>
      </c>
      <c r="C75" s="3">
        <v>1</v>
      </c>
      <c r="D75" s="3">
        <v>1571.048</v>
      </c>
      <c r="E75" s="3">
        <v>3.3820000000000001</v>
      </c>
      <c r="F75" s="3">
        <v>101</v>
      </c>
    </row>
    <row r="76" spans="1:6" x14ac:dyDescent="0.25">
      <c r="A76" s="3" t="s">
        <v>0</v>
      </c>
      <c r="B76" s="3">
        <v>50</v>
      </c>
      <c r="C76" s="3">
        <v>1</v>
      </c>
      <c r="D76" s="3">
        <v>1571.3810000000001</v>
      </c>
      <c r="E76" s="3">
        <v>3.3719999999999999</v>
      </c>
      <c r="F76" s="3">
        <v>103</v>
      </c>
    </row>
    <row r="77" spans="1:6" x14ac:dyDescent="0.25">
      <c r="A77" s="3" t="s">
        <v>0</v>
      </c>
      <c r="B77" s="3">
        <v>50</v>
      </c>
      <c r="C77" s="3">
        <v>1</v>
      </c>
      <c r="D77" s="3">
        <v>1571.136</v>
      </c>
      <c r="E77" s="3">
        <v>3.37</v>
      </c>
      <c r="F77" s="3">
        <v>103</v>
      </c>
    </row>
    <row r="78" spans="1:6" x14ac:dyDescent="0.25">
      <c r="A78" s="3" t="s">
        <v>0</v>
      </c>
      <c r="B78" s="3">
        <v>50</v>
      </c>
      <c r="C78" s="3">
        <v>1</v>
      </c>
      <c r="D78" s="3">
        <v>1572.1120000000001</v>
      </c>
      <c r="E78" s="3">
        <v>3.3969999999999998</v>
      </c>
      <c r="F78" s="3">
        <v>101</v>
      </c>
    </row>
    <row r="79" spans="1:6" x14ac:dyDescent="0.25">
      <c r="A79" s="3" t="s">
        <v>0</v>
      </c>
      <c r="B79" s="3">
        <v>50</v>
      </c>
      <c r="C79" s="3">
        <v>1</v>
      </c>
      <c r="D79" s="3">
        <v>1571.922</v>
      </c>
      <c r="E79" s="3">
        <v>3.3879999999999999</v>
      </c>
      <c r="F79" s="3">
        <v>100</v>
      </c>
    </row>
    <row r="80" spans="1:6" x14ac:dyDescent="0.25">
      <c r="A80" s="3" t="s">
        <v>0</v>
      </c>
      <c r="B80" s="3">
        <v>50</v>
      </c>
      <c r="C80" s="3">
        <v>1</v>
      </c>
      <c r="D80" s="3">
        <v>1570.9939999999999</v>
      </c>
      <c r="E80" s="3">
        <v>3.3719999999999999</v>
      </c>
      <c r="F80" s="3">
        <v>102</v>
      </c>
    </row>
    <row r="81" spans="1:6" x14ac:dyDescent="0.25">
      <c r="A81" s="3" t="s">
        <v>0</v>
      </c>
      <c r="B81" s="3">
        <v>100</v>
      </c>
      <c r="C81" s="3">
        <v>1</v>
      </c>
      <c r="D81" s="3">
        <v>3305.2550000000001</v>
      </c>
      <c r="E81" s="3">
        <v>11.4</v>
      </c>
      <c r="F81" s="3">
        <v>83</v>
      </c>
    </row>
    <row r="82" spans="1:6" x14ac:dyDescent="0.25">
      <c r="A82" s="3" t="s">
        <v>0</v>
      </c>
      <c r="B82" s="3">
        <v>100</v>
      </c>
      <c r="C82" s="3">
        <v>1</v>
      </c>
      <c r="D82" s="3">
        <v>3295.0970000000002</v>
      </c>
      <c r="E82" s="3">
        <v>11.372999999999999</v>
      </c>
      <c r="F82" s="3">
        <v>82</v>
      </c>
    </row>
    <row r="83" spans="1:6" x14ac:dyDescent="0.25">
      <c r="A83" s="3" t="s">
        <v>0</v>
      </c>
      <c r="B83" s="3">
        <v>100</v>
      </c>
      <c r="C83" s="3">
        <v>1</v>
      </c>
      <c r="D83" s="3">
        <v>3324.5889999999999</v>
      </c>
      <c r="E83" s="3">
        <v>11.369</v>
      </c>
      <c r="F83" s="3">
        <v>83</v>
      </c>
    </row>
    <row r="84" spans="1:6" x14ac:dyDescent="0.25">
      <c r="A84" s="3" t="s">
        <v>0</v>
      </c>
      <c r="B84" s="3">
        <v>100</v>
      </c>
      <c r="C84" s="3">
        <v>1</v>
      </c>
      <c r="D84" s="3">
        <v>3303.712</v>
      </c>
      <c r="E84" s="3">
        <v>11.403</v>
      </c>
      <c r="F84" s="3">
        <v>81</v>
      </c>
    </row>
    <row r="85" spans="1:6" x14ac:dyDescent="0.25">
      <c r="A85" s="3" t="s">
        <v>0</v>
      </c>
      <c r="B85" s="3">
        <v>100</v>
      </c>
      <c r="C85" s="3">
        <v>1</v>
      </c>
      <c r="D85" s="3">
        <v>3324.6909999999998</v>
      </c>
      <c r="E85" s="3">
        <v>11.340999999999999</v>
      </c>
      <c r="F85" s="3">
        <v>82</v>
      </c>
    </row>
    <row r="86" spans="1:6" x14ac:dyDescent="0.25">
      <c r="A86" s="3" t="s">
        <v>0</v>
      </c>
      <c r="B86" s="3">
        <v>100</v>
      </c>
      <c r="C86" s="3">
        <v>1</v>
      </c>
      <c r="D86" s="3">
        <v>3310.527</v>
      </c>
      <c r="E86" s="3">
        <v>11.382999999999999</v>
      </c>
      <c r="F86" s="3">
        <v>82</v>
      </c>
    </row>
    <row r="87" spans="1:6" x14ac:dyDescent="0.25">
      <c r="A87" s="3" t="s">
        <v>0</v>
      </c>
      <c r="B87" s="3">
        <v>100</v>
      </c>
      <c r="C87" s="3">
        <v>1</v>
      </c>
      <c r="D87" s="3">
        <v>3304.1889999999999</v>
      </c>
      <c r="E87" s="3">
        <v>11.394</v>
      </c>
      <c r="F87" s="3">
        <v>82</v>
      </c>
    </row>
    <row r="88" spans="1:6" x14ac:dyDescent="0.25">
      <c r="A88" s="3" t="s">
        <v>0</v>
      </c>
      <c r="B88" s="3">
        <v>100</v>
      </c>
      <c r="C88" s="3">
        <v>1</v>
      </c>
      <c r="D88" s="3">
        <v>3300.509</v>
      </c>
      <c r="E88" s="3">
        <v>11.362</v>
      </c>
      <c r="F88" s="3">
        <v>82</v>
      </c>
    </row>
    <row r="89" spans="1:6" x14ac:dyDescent="0.25">
      <c r="A89" s="3" t="s">
        <v>0</v>
      </c>
      <c r="B89" s="3">
        <v>100</v>
      </c>
      <c r="C89" s="3">
        <v>1</v>
      </c>
      <c r="D89" s="3">
        <v>3298.9389999999999</v>
      </c>
      <c r="E89" s="3">
        <v>11.345000000000001</v>
      </c>
      <c r="F89" s="3">
        <v>82</v>
      </c>
    </row>
    <row r="90" spans="1:6" x14ac:dyDescent="0.25">
      <c r="A90" s="3" t="s">
        <v>0</v>
      </c>
      <c r="B90" s="3">
        <v>100</v>
      </c>
      <c r="C90" s="3">
        <v>1</v>
      </c>
      <c r="D90" s="3">
        <v>3306.38</v>
      </c>
      <c r="E90" s="3">
        <v>11.356999999999999</v>
      </c>
      <c r="F90" s="3">
        <v>82</v>
      </c>
    </row>
  </sheetData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0"/>
  <sheetViews>
    <sheetView zoomScale="85" zoomScaleNormal="85" workbookViewId="0">
      <selection sqref="A1:F91"/>
    </sheetView>
  </sheetViews>
  <sheetFormatPr defaultColWidth="9" defaultRowHeight="15" x14ac:dyDescent="0.25"/>
  <cols>
    <col min="1" max="1" width="9.75" style="3" customWidth="1"/>
    <col min="2" max="2" width="4.375" style="3" bestFit="1" customWidth="1"/>
    <col min="3" max="3" width="2.625" style="3" bestFit="1" customWidth="1"/>
    <col min="4" max="4" width="10.375" style="3" customWidth="1"/>
    <col min="5" max="5" width="7" style="3" bestFit="1" customWidth="1"/>
    <col min="6" max="6" width="4.375" style="3" bestFit="1" customWidth="1"/>
    <col min="7" max="7" width="2.125" style="3" customWidth="1"/>
    <col min="8" max="8" width="9.875" style="3" customWidth="1"/>
    <col min="9" max="9" width="4.375" style="3" bestFit="1" customWidth="1"/>
    <col min="10" max="10" width="3.125" style="3" bestFit="1" customWidth="1"/>
    <col min="11" max="11" width="2.5" style="3" customWidth="1"/>
    <col min="12" max="21" width="9" style="3"/>
    <col min="22" max="22" width="2.375" style="3" customWidth="1"/>
    <col min="23" max="23" width="9" style="3"/>
    <col min="24" max="24" width="2.375" style="3" customWidth="1"/>
    <col min="25" max="25" width="9" style="3"/>
    <col min="26" max="26" width="2.125" style="3" customWidth="1"/>
    <col min="27" max="27" width="2.625" style="3" customWidth="1"/>
    <col min="28" max="37" width="9" style="3"/>
    <col min="38" max="38" width="5.625" style="3" customWidth="1"/>
    <col min="39" max="16384" width="9" style="3"/>
  </cols>
  <sheetData>
    <row r="1" spans="1:39" x14ac:dyDescent="0.25">
      <c r="A1" s="3" t="s">
        <v>2</v>
      </c>
      <c r="B1" s="3">
        <v>24</v>
      </c>
      <c r="C1" s="3">
        <v>1</v>
      </c>
      <c r="D1" s="3">
        <v>55984.165000000001</v>
      </c>
      <c r="E1" s="3">
        <v>1.2410000000000001</v>
      </c>
      <c r="F1" s="3">
        <v>135</v>
      </c>
      <c r="H1" s="5" t="s">
        <v>13</v>
      </c>
      <c r="I1" s="5" t="s">
        <v>14</v>
      </c>
      <c r="J1" s="5" t="s">
        <v>10</v>
      </c>
      <c r="K1" s="2"/>
      <c r="L1" s="2">
        <v>1</v>
      </c>
      <c r="M1" s="2">
        <v>2</v>
      </c>
      <c r="N1" s="2">
        <v>3</v>
      </c>
      <c r="O1" s="2">
        <v>4</v>
      </c>
      <c r="P1" s="2">
        <v>5</v>
      </c>
      <c r="Q1" s="2">
        <v>6</v>
      </c>
      <c r="R1" s="2">
        <v>7</v>
      </c>
      <c r="S1" s="2">
        <v>8</v>
      </c>
      <c r="T1" s="2">
        <v>9</v>
      </c>
      <c r="U1" s="2">
        <v>10</v>
      </c>
      <c r="W1" s="2" t="s">
        <v>11</v>
      </c>
      <c r="X1" s="2"/>
      <c r="Y1" s="2" t="s">
        <v>9</v>
      </c>
      <c r="Z1" s="2"/>
      <c r="AM1" s="5" t="s">
        <v>12</v>
      </c>
    </row>
    <row r="2" spans="1:39" x14ac:dyDescent="0.25">
      <c r="A2" s="3" t="s">
        <v>2</v>
      </c>
      <c r="B2" s="3">
        <v>24</v>
      </c>
      <c r="C2" s="3">
        <v>1</v>
      </c>
      <c r="D2" s="3">
        <v>55980.464999999997</v>
      </c>
      <c r="E2" s="3">
        <v>1.238</v>
      </c>
      <c r="F2" s="3">
        <v>139</v>
      </c>
      <c r="H2" s="3" t="s">
        <v>2</v>
      </c>
      <c r="I2" s="3">
        <v>24</v>
      </c>
      <c r="J2" s="3">
        <v>1</v>
      </c>
      <c r="L2" s="3">
        <f ca="1">INDIRECT("D"&amp;1+(ROW(D1)-1)*10+COLUMN(A1)-1)</f>
        <v>55984.165000000001</v>
      </c>
      <c r="M2" s="3">
        <f t="shared" ref="M2:U10" ca="1" si="0">INDIRECT("D"&amp;1+(ROW(E1)-1)*10+COLUMN(B1)-1)</f>
        <v>55980.464999999997</v>
      </c>
      <c r="N2" s="3">
        <f t="shared" ca="1" si="0"/>
        <v>55992.387999999999</v>
      </c>
      <c r="O2" s="3">
        <f t="shared" ca="1" si="0"/>
        <v>55995.885999999999</v>
      </c>
      <c r="P2" s="3">
        <f t="shared" ca="1" si="0"/>
        <v>55984.737999999998</v>
      </c>
      <c r="Q2" s="3">
        <f t="shared" ca="1" si="0"/>
        <v>55969.158000000003</v>
      </c>
      <c r="R2" s="3">
        <f t="shared" ca="1" si="0"/>
        <v>55982.798999999999</v>
      </c>
      <c r="S2" s="3">
        <f t="shared" ca="1" si="0"/>
        <v>55988.42</v>
      </c>
      <c r="T2" s="3">
        <f t="shared" ca="1" si="0"/>
        <v>55988.648000000001</v>
      </c>
      <c r="U2" s="3">
        <f t="shared" ca="1" si="0"/>
        <v>55991.677000000003</v>
      </c>
      <c r="W2" s="3">
        <f ca="1">AVERAGE(L2:U2)</f>
        <v>55985.834399999992</v>
      </c>
      <c r="Y2" s="3">
        <f ca="1">Total!E2</f>
        <v>55722.476000000002</v>
      </c>
      <c r="AB2" s="3">
        <f t="shared" ref="AB2:AK10" ca="1" si="1">(L2-$Y2)/$Y2</f>
        <v>4.6962916723226455E-3</v>
      </c>
      <c r="AC2" s="3">
        <f t="shared" ca="1" si="1"/>
        <v>4.6298911771256203E-3</v>
      </c>
      <c r="AD2" s="3">
        <f t="shared" ca="1" si="1"/>
        <v>4.8438622863778815E-3</v>
      </c>
      <c r="AE2" s="3">
        <f t="shared" ca="1" si="1"/>
        <v>4.9066376734586631E-3</v>
      </c>
      <c r="AF2" s="3">
        <f t="shared" ca="1" si="1"/>
        <v>4.7065747760382214E-3</v>
      </c>
      <c r="AG2" s="3">
        <f t="shared" ca="1" si="1"/>
        <v>4.4269748530198242E-3</v>
      </c>
      <c r="AH2" s="3">
        <f t="shared" ca="1" si="1"/>
        <v>4.6717773273390918E-3</v>
      </c>
      <c r="AI2" s="3">
        <f t="shared" ca="1" si="1"/>
        <v>4.7726522417990873E-3</v>
      </c>
      <c r="AJ2" s="3">
        <f t="shared" ca="1" si="1"/>
        <v>4.776743947989652E-3</v>
      </c>
      <c r="AK2" s="3">
        <f t="shared" ca="1" si="1"/>
        <v>4.8311026236522751E-3</v>
      </c>
      <c r="AM2" s="3">
        <f ca="1">SUM(AB2:AK2)</f>
        <v>4.7262508579122967E-2</v>
      </c>
    </row>
    <row r="3" spans="1:39" x14ac:dyDescent="0.25">
      <c r="A3" s="3" t="s">
        <v>2</v>
      </c>
      <c r="B3" s="3">
        <v>24</v>
      </c>
      <c r="C3" s="3">
        <v>1</v>
      </c>
      <c r="D3" s="3">
        <v>55992.387999999999</v>
      </c>
      <c r="E3" s="3">
        <v>1.2410000000000001</v>
      </c>
      <c r="F3" s="3">
        <v>154</v>
      </c>
      <c r="H3" s="3" t="s">
        <v>2</v>
      </c>
      <c r="I3" s="3">
        <v>47</v>
      </c>
      <c r="J3" s="3">
        <v>1</v>
      </c>
      <c r="L3" s="3">
        <f t="shared" ref="L3:L10" ca="1" si="2">INDIRECT("D"&amp;1+(ROW(D2)-1)*10+COLUMN(A2)-1)</f>
        <v>126242.215</v>
      </c>
      <c r="M3" s="3">
        <f t="shared" ca="1" si="0"/>
        <v>126266.031</v>
      </c>
      <c r="N3" s="3">
        <f t="shared" ca="1" si="0"/>
        <v>126296.182</v>
      </c>
      <c r="O3" s="3">
        <f t="shared" ca="1" si="0"/>
        <v>126199.064</v>
      </c>
      <c r="P3" s="3">
        <f t="shared" ca="1" si="0"/>
        <v>126209.86900000001</v>
      </c>
      <c r="Q3" s="3">
        <f t="shared" ca="1" si="0"/>
        <v>126214.79700000001</v>
      </c>
      <c r="R3" s="3">
        <f t="shared" ca="1" si="0"/>
        <v>126288.05899999999</v>
      </c>
      <c r="S3" s="3">
        <f t="shared" ca="1" si="0"/>
        <v>126195.234</v>
      </c>
      <c r="T3" s="3">
        <f t="shared" ca="1" si="0"/>
        <v>126173.298</v>
      </c>
      <c r="U3" s="3">
        <f t="shared" ca="1" si="0"/>
        <v>126230.452</v>
      </c>
      <c r="W3" s="3">
        <f t="shared" ref="W3:W10" ca="1" si="3">AVERAGE(L3:U3)</f>
        <v>126231.52010000001</v>
      </c>
      <c r="Y3" s="3">
        <f ca="1">Total!E3</f>
        <v>126021.209</v>
      </c>
      <c r="AB3" s="3">
        <f t="shared" ca="1" si="1"/>
        <v>1.7537206772868998E-3</v>
      </c>
      <c r="AC3" s="3">
        <f t="shared" ca="1" si="1"/>
        <v>1.9427047394855585E-3</v>
      </c>
      <c r="AD3" s="3">
        <f t="shared" ca="1" si="1"/>
        <v>2.1819581178593368E-3</v>
      </c>
      <c r="AE3" s="3">
        <f t="shared" ca="1" si="1"/>
        <v>1.4113100597217404E-3</v>
      </c>
      <c r="AF3" s="3">
        <f t="shared" ca="1" si="1"/>
        <v>1.4970495958343288E-3</v>
      </c>
      <c r="AG3" s="3">
        <f t="shared" ca="1" si="1"/>
        <v>1.5361541246601068E-3</v>
      </c>
      <c r="AH3" s="3">
        <f t="shared" ca="1" si="1"/>
        <v>2.1175007137091604E-3</v>
      </c>
      <c r="AI3" s="3">
        <f t="shared" ca="1" si="1"/>
        <v>1.3809183500214967E-3</v>
      </c>
      <c r="AJ3" s="3">
        <f t="shared" ca="1" si="1"/>
        <v>1.2068524116443976E-3</v>
      </c>
      <c r="AK3" s="3">
        <f t="shared" ca="1" si="1"/>
        <v>1.6603792461632567E-3</v>
      </c>
      <c r="AM3" s="3">
        <f t="shared" ref="AM3:AM10" ca="1" si="4">SUM(AB3:AK3)</f>
        <v>1.668854803638628E-2</v>
      </c>
    </row>
    <row r="4" spans="1:39" x14ac:dyDescent="0.25">
      <c r="A4" s="3" t="s">
        <v>2</v>
      </c>
      <c r="B4" s="3">
        <v>24</v>
      </c>
      <c r="C4" s="3">
        <v>1</v>
      </c>
      <c r="D4" s="3">
        <v>55995.885999999999</v>
      </c>
      <c r="E4" s="3">
        <v>1.2390000000000001</v>
      </c>
      <c r="F4" s="3">
        <v>148</v>
      </c>
      <c r="H4" s="3" t="s">
        <v>2</v>
      </c>
      <c r="I4" s="3">
        <v>100</v>
      </c>
      <c r="J4" s="3">
        <v>1</v>
      </c>
      <c r="L4" s="3">
        <f t="shared" ca="1" si="2"/>
        <v>1217080.9750000001</v>
      </c>
      <c r="M4" s="3">
        <f t="shared" ca="1" si="0"/>
        <v>1216734.22</v>
      </c>
      <c r="N4" s="3">
        <f t="shared" ca="1" si="0"/>
        <v>1216716.946</v>
      </c>
      <c r="O4" s="3">
        <f t="shared" ca="1" si="0"/>
        <v>1216922.8629999999</v>
      </c>
      <c r="P4" s="3">
        <f t="shared" ca="1" si="0"/>
        <v>1216586.4469999999</v>
      </c>
      <c r="Q4" s="3">
        <f t="shared" ca="1" si="0"/>
        <v>1217104.3400000001</v>
      </c>
      <c r="R4" s="3">
        <f t="shared" ca="1" si="0"/>
        <v>1217324.129</v>
      </c>
      <c r="S4" s="3">
        <f t="shared" ca="1" si="0"/>
        <v>1217039.925</v>
      </c>
      <c r="T4" s="3">
        <f t="shared" ca="1" si="0"/>
        <v>1217096.5619999999</v>
      </c>
      <c r="U4" s="3">
        <f t="shared" ca="1" si="0"/>
        <v>1216763.5290000001</v>
      </c>
      <c r="W4" s="3">
        <f t="shared" ca="1" si="3"/>
        <v>1216936.9936000002</v>
      </c>
      <c r="Y4" s="3">
        <f ca="1">Total!E4</f>
        <v>1216556.6340000001</v>
      </c>
      <c r="AB4" s="3">
        <f t="shared" ca="1" si="1"/>
        <v>4.3100418455324857E-4</v>
      </c>
      <c r="AC4" s="3">
        <f t="shared" ca="1" si="1"/>
        <v>1.4597429748584463E-4</v>
      </c>
      <c r="AD4" s="3">
        <f t="shared" ca="1" si="1"/>
        <v>1.3177520513189527E-4</v>
      </c>
      <c r="AE4" s="3">
        <f t="shared" ca="1" si="1"/>
        <v>3.0103736214537585E-4</v>
      </c>
      <c r="AF4" s="3">
        <f t="shared" ca="1" si="1"/>
        <v>2.4506051889935381E-5</v>
      </c>
      <c r="AG4" s="3">
        <f t="shared" ca="1" si="1"/>
        <v>4.5021003107694661E-4</v>
      </c>
      <c r="AH4" s="3">
        <f t="shared" ca="1" si="1"/>
        <v>6.3087486315896316E-4</v>
      </c>
      <c r="AI4" s="3">
        <f t="shared" ca="1" si="1"/>
        <v>3.9726140690295913E-4</v>
      </c>
      <c r="AJ4" s="3">
        <f t="shared" ca="1" si="1"/>
        <v>4.4381657615443144E-4</v>
      </c>
      <c r="AK4" s="3">
        <f t="shared" ca="1" si="1"/>
        <v>1.700660653337234E-4</v>
      </c>
      <c r="AM4" s="3">
        <f t="shared" ca="1" si="4"/>
        <v>3.1265260438333234E-3</v>
      </c>
    </row>
    <row r="5" spans="1:39" x14ac:dyDescent="0.25">
      <c r="A5" s="3" t="s">
        <v>2</v>
      </c>
      <c r="B5" s="3">
        <v>24</v>
      </c>
      <c r="C5" s="3">
        <v>1</v>
      </c>
      <c r="D5" s="3">
        <v>55984.737999999998</v>
      </c>
      <c r="E5" s="3">
        <v>1.236</v>
      </c>
      <c r="F5" s="3">
        <v>139</v>
      </c>
      <c r="H5" s="3" t="s">
        <v>1</v>
      </c>
      <c r="I5" s="3">
        <v>30</v>
      </c>
      <c r="J5" s="3">
        <v>1</v>
      </c>
      <c r="L5" s="3">
        <f t="shared" ca="1" si="2"/>
        <v>19997.648000000001</v>
      </c>
      <c r="M5" s="3">
        <f t="shared" ca="1" si="0"/>
        <v>20029.13</v>
      </c>
      <c r="N5" s="3">
        <f t="shared" ca="1" si="0"/>
        <v>19995.598999999998</v>
      </c>
      <c r="O5" s="3">
        <f t="shared" ca="1" si="0"/>
        <v>19983.853999999999</v>
      </c>
      <c r="P5" s="3">
        <f t="shared" ca="1" si="0"/>
        <v>20020.685000000001</v>
      </c>
      <c r="Q5" s="3">
        <f t="shared" ca="1" si="0"/>
        <v>20028.159</v>
      </c>
      <c r="R5" s="3">
        <f t="shared" ca="1" si="0"/>
        <v>20024.5</v>
      </c>
      <c r="S5" s="3">
        <f t="shared" ca="1" si="0"/>
        <v>20050.563999999998</v>
      </c>
      <c r="T5" s="3">
        <f t="shared" ca="1" si="0"/>
        <v>20069.775000000001</v>
      </c>
      <c r="U5" s="3">
        <f t="shared" ca="1" si="0"/>
        <v>19993.401000000002</v>
      </c>
      <c r="W5" s="3">
        <f t="shared" ca="1" si="3"/>
        <v>20019.331500000004</v>
      </c>
      <c r="Y5" s="3">
        <f ca="1">Total!E5</f>
        <v>19969.536</v>
      </c>
      <c r="AB5" s="3">
        <f t="shared" ca="1" si="1"/>
        <v>1.4077442760813766E-3</v>
      </c>
      <c r="AC5" s="3">
        <f t="shared" ca="1" si="1"/>
        <v>2.984245602902389E-3</v>
      </c>
      <c r="AD5" s="3">
        <f t="shared" ca="1" si="1"/>
        <v>1.3051379861804642E-3</v>
      </c>
      <c r="AE5" s="3">
        <f t="shared" ca="1" si="1"/>
        <v>7.1699212240080603E-4</v>
      </c>
      <c r="AF5" s="3">
        <f t="shared" ca="1" si="1"/>
        <v>2.561351450529509E-3</v>
      </c>
      <c r="AG5" s="3">
        <f t="shared" ca="1" si="1"/>
        <v>2.9356215387277697E-3</v>
      </c>
      <c r="AH5" s="3">
        <f t="shared" ca="1" si="1"/>
        <v>2.7523924441709585E-3</v>
      </c>
      <c r="AI5" s="3">
        <f t="shared" ca="1" si="1"/>
        <v>4.0575805066276165E-3</v>
      </c>
      <c r="AJ5" s="3">
        <f t="shared" ca="1" si="1"/>
        <v>5.0195958483963471E-3</v>
      </c>
      <c r="AK5" s="3">
        <f t="shared" ca="1" si="1"/>
        <v>1.1950703311284549E-3</v>
      </c>
      <c r="AM5" s="3">
        <f t="shared" ca="1" si="4"/>
        <v>2.4935732107145694E-2</v>
      </c>
    </row>
    <row r="6" spans="1:39" x14ac:dyDescent="0.25">
      <c r="A6" s="3" t="s">
        <v>2</v>
      </c>
      <c r="B6" s="3">
        <v>24</v>
      </c>
      <c r="C6" s="3">
        <v>1</v>
      </c>
      <c r="D6" s="3">
        <v>55969.158000000003</v>
      </c>
      <c r="E6" s="3">
        <v>1.2390000000000001</v>
      </c>
      <c r="F6" s="3">
        <v>150</v>
      </c>
      <c r="H6" s="3" t="s">
        <v>1</v>
      </c>
      <c r="I6" s="3">
        <v>50</v>
      </c>
      <c r="J6" s="3">
        <v>1</v>
      </c>
      <c r="L6" s="3">
        <f t="shared" ca="1" si="2"/>
        <v>35311.826999999997</v>
      </c>
      <c r="M6" s="3">
        <f t="shared" ca="1" si="0"/>
        <v>35331.527999999998</v>
      </c>
      <c r="N6" s="3">
        <f t="shared" ca="1" si="0"/>
        <v>35391.343000000001</v>
      </c>
      <c r="O6" s="3">
        <f t="shared" ca="1" si="0"/>
        <v>35328.875</v>
      </c>
      <c r="P6" s="3">
        <f t="shared" ca="1" si="0"/>
        <v>35362.845999999998</v>
      </c>
      <c r="Q6" s="3">
        <f t="shared" ca="1" si="0"/>
        <v>35363.442000000003</v>
      </c>
      <c r="R6" s="3">
        <f t="shared" ca="1" si="0"/>
        <v>35316.322</v>
      </c>
      <c r="S6" s="3">
        <f t="shared" ca="1" si="0"/>
        <v>35325.671999999999</v>
      </c>
      <c r="T6" s="3">
        <f t="shared" ca="1" si="0"/>
        <v>35384.508999999998</v>
      </c>
      <c r="U6" s="3">
        <f t="shared" ca="1" si="0"/>
        <v>35298.909</v>
      </c>
      <c r="W6" s="3">
        <f t="shared" ca="1" si="3"/>
        <v>35341.527300000002</v>
      </c>
      <c r="Y6" s="3">
        <f ca="1">Total!E6</f>
        <v>35277.981</v>
      </c>
      <c r="AB6" s="3">
        <f t="shared" ca="1" si="1"/>
        <v>9.5940864643012679E-4</v>
      </c>
      <c r="AC6" s="3">
        <f t="shared" ca="1" si="1"/>
        <v>1.5178589727115807E-3</v>
      </c>
      <c r="AD6" s="3">
        <f t="shared" ca="1" si="1"/>
        <v>3.2133925124570193E-3</v>
      </c>
      <c r="AE6" s="3">
        <f t="shared" ca="1" si="1"/>
        <v>1.4426562563203441E-3</v>
      </c>
      <c r="AF6" s="3">
        <f t="shared" ca="1" si="1"/>
        <v>2.4056081894255218E-3</v>
      </c>
      <c r="AG6" s="3">
        <f t="shared" ca="1" si="1"/>
        <v>2.4225025802923068E-3</v>
      </c>
      <c r="AH6" s="3">
        <f t="shared" ca="1" si="1"/>
        <v>1.0868252352650325E-3</v>
      </c>
      <c r="AI6" s="3">
        <f t="shared" ca="1" si="1"/>
        <v>1.3518630785588012E-3</v>
      </c>
      <c r="AJ6" s="3">
        <f t="shared" ca="1" si="1"/>
        <v>3.0196739433585619E-3</v>
      </c>
      <c r="AK6" s="3">
        <f t="shared" ca="1" si="1"/>
        <v>5.9323122828372412E-4</v>
      </c>
      <c r="AM6" s="3">
        <f t="shared" ca="1" si="4"/>
        <v>1.801302064310302E-2</v>
      </c>
    </row>
    <row r="7" spans="1:39" x14ac:dyDescent="0.25">
      <c r="A7" s="3" t="s">
        <v>2</v>
      </c>
      <c r="B7" s="3">
        <v>24</v>
      </c>
      <c r="C7" s="3">
        <v>1</v>
      </c>
      <c r="D7" s="3">
        <v>55982.798999999999</v>
      </c>
      <c r="E7" s="3">
        <v>1.236</v>
      </c>
      <c r="F7" s="3">
        <v>145</v>
      </c>
      <c r="H7" s="3" t="s">
        <v>1</v>
      </c>
      <c r="I7" s="3">
        <v>100</v>
      </c>
      <c r="J7" s="3">
        <v>1</v>
      </c>
      <c r="L7" s="3">
        <f t="shared" ca="1" si="2"/>
        <v>63062.845000000001</v>
      </c>
      <c r="M7" s="3">
        <f t="shared" ca="1" si="0"/>
        <v>63124.196000000004</v>
      </c>
      <c r="N7" s="3">
        <f t="shared" ca="1" si="0"/>
        <v>63133.17</v>
      </c>
      <c r="O7" s="3">
        <f t="shared" ca="1" si="0"/>
        <v>63120.084000000003</v>
      </c>
      <c r="P7" s="3">
        <f t="shared" ca="1" si="0"/>
        <v>63099.803999999996</v>
      </c>
      <c r="Q7" s="3">
        <f t="shared" ca="1" si="0"/>
        <v>63090.815000000002</v>
      </c>
      <c r="R7" s="3">
        <f t="shared" ca="1" si="0"/>
        <v>63114.186999999998</v>
      </c>
      <c r="S7" s="3">
        <f t="shared" ca="1" si="0"/>
        <v>63169.375</v>
      </c>
      <c r="T7" s="3">
        <f t="shared" ca="1" si="0"/>
        <v>63133.125</v>
      </c>
      <c r="U7" s="3">
        <f t="shared" ca="1" si="0"/>
        <v>63101.063999999998</v>
      </c>
      <c r="W7" s="3">
        <f t="shared" ca="1" si="3"/>
        <v>63114.866500000004</v>
      </c>
      <c r="Y7" s="3">
        <f ca="1">Total!E7</f>
        <v>63035.512000000002</v>
      </c>
      <c r="AB7" s="3">
        <f t="shared" ca="1" si="1"/>
        <v>4.3361272293621918E-4</v>
      </c>
      <c r="AC7" s="3">
        <f t="shared" ca="1" si="1"/>
        <v>1.406889500635786E-3</v>
      </c>
      <c r="AD7" s="3">
        <f t="shared" ca="1" si="1"/>
        <v>1.5492536968684542E-3</v>
      </c>
      <c r="AE7" s="3">
        <f t="shared" ca="1" si="1"/>
        <v>1.341656430108795E-3</v>
      </c>
      <c r="AF7" s="3">
        <f t="shared" ca="1" si="1"/>
        <v>1.0199330180739074E-3</v>
      </c>
      <c r="AG7" s="3">
        <f t="shared" ca="1" si="1"/>
        <v>8.7733086073767249E-4</v>
      </c>
      <c r="AH7" s="3">
        <f t="shared" ca="1" si="1"/>
        <v>1.2481059882562013E-3</v>
      </c>
      <c r="AI7" s="3">
        <f t="shared" ca="1" si="1"/>
        <v>2.1236124805331567E-3</v>
      </c>
      <c r="AJ7" s="3">
        <f t="shared" ca="1" si="1"/>
        <v>1.5485398135577538E-3</v>
      </c>
      <c r="AK7" s="3">
        <f t="shared" ca="1" si="1"/>
        <v>1.039921750774326E-3</v>
      </c>
      <c r="AM7" s="3">
        <f t="shared" ca="1" si="4"/>
        <v>1.2588856262482273E-2</v>
      </c>
    </row>
    <row r="8" spans="1:39" x14ac:dyDescent="0.25">
      <c r="A8" s="3" t="s">
        <v>2</v>
      </c>
      <c r="B8" s="3">
        <v>24</v>
      </c>
      <c r="C8" s="3">
        <v>1</v>
      </c>
      <c r="D8" s="3">
        <v>55988.42</v>
      </c>
      <c r="E8" s="3">
        <v>1.236</v>
      </c>
      <c r="F8" s="3">
        <v>149</v>
      </c>
      <c r="H8" s="3" t="s">
        <v>0</v>
      </c>
      <c r="I8" s="3">
        <v>25</v>
      </c>
      <c r="J8" s="3">
        <v>1</v>
      </c>
      <c r="L8" s="3">
        <f t="shared" ca="1" si="2"/>
        <v>723.12199999999996</v>
      </c>
      <c r="M8" s="3">
        <f t="shared" ca="1" si="0"/>
        <v>723.5</v>
      </c>
      <c r="N8" s="3">
        <f t="shared" ca="1" si="0"/>
        <v>723.77700000000004</v>
      </c>
      <c r="O8" s="3">
        <f t="shared" ca="1" si="0"/>
        <v>723.29399999999998</v>
      </c>
      <c r="P8" s="3">
        <f t="shared" ca="1" si="0"/>
        <v>723.226</v>
      </c>
      <c r="Q8" s="3">
        <f t="shared" ca="1" si="0"/>
        <v>723.27599999999995</v>
      </c>
      <c r="R8" s="3">
        <f t="shared" ca="1" si="0"/>
        <v>723.48299999999995</v>
      </c>
      <c r="S8" s="3">
        <f t="shared" ca="1" si="0"/>
        <v>723.03399999999999</v>
      </c>
      <c r="T8" s="3">
        <f t="shared" ca="1" si="0"/>
        <v>723.07399999999996</v>
      </c>
      <c r="U8" s="3">
        <f t="shared" ca="1" si="0"/>
        <v>723.50699999999995</v>
      </c>
      <c r="W8" s="3">
        <f t="shared" ca="1" si="3"/>
        <v>723.32929999999988</v>
      </c>
      <c r="Y8" s="3">
        <f ca="1">Total!E8</f>
        <v>722.92</v>
      </c>
      <c r="AB8" s="3">
        <f t="shared" ca="1" si="1"/>
        <v>2.7942234272118383E-4</v>
      </c>
      <c r="AC8" s="3">
        <f t="shared" ca="1" si="1"/>
        <v>8.0230177613019554E-4</v>
      </c>
      <c r="AD8" s="3">
        <f t="shared" ca="1" si="1"/>
        <v>1.1854700381786153E-3</v>
      </c>
      <c r="AE8" s="3">
        <f t="shared" ca="1" si="1"/>
        <v>5.1734631771153613E-4</v>
      </c>
      <c r="AF8" s="3">
        <f t="shared" ca="1" si="1"/>
        <v>4.2328335085492177E-4</v>
      </c>
      <c r="AG8" s="3">
        <f t="shared" ca="1" si="1"/>
        <v>4.9244729707297432E-4</v>
      </c>
      <c r="AH8" s="3">
        <f t="shared" ca="1" si="1"/>
        <v>7.787860344159633E-4</v>
      </c>
      <c r="AI8" s="3">
        <f t="shared" ca="1" si="1"/>
        <v>1.5769379737734846E-4</v>
      </c>
      <c r="AJ8" s="3">
        <f t="shared" ca="1" si="1"/>
        <v>2.1302495435179046E-4</v>
      </c>
      <c r="AK8" s="3">
        <f t="shared" ca="1" si="1"/>
        <v>8.1198472860066003E-4</v>
      </c>
      <c r="AM8" s="3">
        <f t="shared" ca="1" si="4"/>
        <v>5.6617606374151893E-3</v>
      </c>
    </row>
    <row r="9" spans="1:39" x14ac:dyDescent="0.25">
      <c r="A9" s="3" t="s">
        <v>2</v>
      </c>
      <c r="B9" s="3">
        <v>24</v>
      </c>
      <c r="C9" s="3">
        <v>1</v>
      </c>
      <c r="D9" s="3">
        <v>55988.648000000001</v>
      </c>
      <c r="E9" s="3">
        <v>1.2410000000000001</v>
      </c>
      <c r="F9" s="3">
        <v>148</v>
      </c>
      <c r="H9" s="3" t="s">
        <v>0</v>
      </c>
      <c r="I9" s="3">
        <v>50</v>
      </c>
      <c r="J9" s="3">
        <v>1</v>
      </c>
      <c r="L9" s="3">
        <f t="shared" ca="1" si="2"/>
        <v>1571.85</v>
      </c>
      <c r="M9" s="3">
        <f t="shared" ca="1" si="0"/>
        <v>1571.778</v>
      </c>
      <c r="N9" s="3">
        <f t="shared" ca="1" si="0"/>
        <v>1571.21</v>
      </c>
      <c r="O9" s="3">
        <f t="shared" ca="1" si="0"/>
        <v>1571.845</v>
      </c>
      <c r="P9" s="3">
        <f t="shared" ca="1" si="0"/>
        <v>1571.3710000000001</v>
      </c>
      <c r="Q9" s="3">
        <f t="shared" ca="1" si="0"/>
        <v>1571.6659999999999</v>
      </c>
      <c r="R9" s="3">
        <f t="shared" ca="1" si="0"/>
        <v>1570.759</v>
      </c>
      <c r="S9" s="3">
        <f t="shared" ca="1" si="0"/>
        <v>1571.48</v>
      </c>
      <c r="T9" s="3">
        <f t="shared" ca="1" si="0"/>
        <v>1572.296</v>
      </c>
      <c r="U9" s="3">
        <f t="shared" ca="1" si="0"/>
        <v>1571.32</v>
      </c>
      <c r="W9" s="3">
        <f t="shared" ca="1" si="3"/>
        <v>1571.5574999999999</v>
      </c>
      <c r="Y9" s="3">
        <f ca="1">Total!E9</f>
        <v>1570.17</v>
      </c>
      <c r="AB9" s="3">
        <f t="shared" ca="1" si="1"/>
        <v>1.0699478400426935E-3</v>
      </c>
      <c r="AC9" s="3">
        <f t="shared" ca="1" si="1"/>
        <v>1.0240929326123588E-3</v>
      </c>
      <c r="AD9" s="3">
        <f t="shared" ca="1" si="1"/>
        <v>6.6234866288361356E-4</v>
      </c>
      <c r="AE9" s="3">
        <f t="shared" ca="1" si="1"/>
        <v>1.0667634714712129E-3</v>
      </c>
      <c r="AF9" s="3">
        <f t="shared" ca="1" si="1"/>
        <v>7.6488533088775218E-4</v>
      </c>
      <c r="AG9" s="3">
        <f t="shared" ca="1" si="1"/>
        <v>9.5276307660945448E-4</v>
      </c>
      <c r="AH9" s="3">
        <f t="shared" ca="1" si="1"/>
        <v>3.7511861772925335E-4</v>
      </c>
      <c r="AI9" s="3">
        <f t="shared" ca="1" si="1"/>
        <v>8.3430456574762313E-4</v>
      </c>
      <c r="AJ9" s="3">
        <f t="shared" ca="1" si="1"/>
        <v>1.3539935166255732E-3</v>
      </c>
      <c r="AK9" s="3">
        <f t="shared" ca="1" si="1"/>
        <v>7.3240477145778066E-4</v>
      </c>
      <c r="AM9" s="3">
        <f t="shared" ca="1" si="4"/>
        <v>8.8366227860673142E-3</v>
      </c>
    </row>
    <row r="10" spans="1:39" x14ac:dyDescent="0.25">
      <c r="A10" s="3" t="s">
        <v>2</v>
      </c>
      <c r="B10" s="3">
        <v>24</v>
      </c>
      <c r="C10" s="3">
        <v>1</v>
      </c>
      <c r="D10" s="3">
        <v>55991.677000000003</v>
      </c>
      <c r="E10" s="3">
        <v>1.238</v>
      </c>
      <c r="F10" s="3">
        <v>143</v>
      </c>
      <c r="H10" s="3" t="s">
        <v>28</v>
      </c>
      <c r="I10" s="3">
        <v>100</v>
      </c>
      <c r="J10" s="3">
        <v>1</v>
      </c>
      <c r="L10" s="3">
        <f t="shared" ca="1" si="2"/>
        <v>3298.0140000000001</v>
      </c>
      <c r="M10" s="3">
        <f t="shared" ca="1" si="0"/>
        <v>3297.326</v>
      </c>
      <c r="N10" s="3">
        <f t="shared" ca="1" si="0"/>
        <v>3298.739</v>
      </c>
      <c r="O10" s="3">
        <f t="shared" ca="1" si="0"/>
        <v>3298.317</v>
      </c>
      <c r="P10" s="3">
        <f t="shared" ca="1" si="0"/>
        <v>3322.7890000000002</v>
      </c>
      <c r="Q10" s="3">
        <f t="shared" ca="1" si="0"/>
        <v>3294.05</v>
      </c>
      <c r="R10" s="3">
        <f t="shared" ca="1" si="0"/>
        <v>3292.9409999999998</v>
      </c>
      <c r="S10" s="3">
        <f t="shared" ca="1" si="0"/>
        <v>3311.741</v>
      </c>
      <c r="T10" s="3">
        <f t="shared" ca="1" si="0"/>
        <v>3298.5720000000001</v>
      </c>
      <c r="U10" s="3">
        <f t="shared" ca="1" si="0"/>
        <v>3291.8820000000001</v>
      </c>
      <c r="W10" s="3">
        <f t="shared" ca="1" si="3"/>
        <v>3300.4371000000001</v>
      </c>
      <c r="Y10" s="3">
        <f ca="1">Total!E10</f>
        <v>3290.5340000000001</v>
      </c>
      <c r="AB10" s="3">
        <f t="shared" ca="1" si="1"/>
        <v>2.2731872699081725E-3</v>
      </c>
      <c r="AC10" s="3">
        <f t="shared" ca="1" si="1"/>
        <v>2.064102665403219E-3</v>
      </c>
      <c r="AD10" s="3">
        <f t="shared" ca="1" si="1"/>
        <v>2.4935162499460351E-3</v>
      </c>
      <c r="AE10" s="3">
        <f t="shared" ca="1" si="1"/>
        <v>2.3652695884619035E-3</v>
      </c>
      <c r="AF10" s="3">
        <f t="shared" ca="1" si="1"/>
        <v>9.8023603463754244E-3</v>
      </c>
      <c r="AG10" s="3">
        <f t="shared" ca="1" si="1"/>
        <v>1.0685195776734342E-3</v>
      </c>
      <c r="AH10" s="3">
        <f t="shared" ca="1" si="1"/>
        <v>7.3149221372570471E-4</v>
      </c>
      <c r="AI10" s="3">
        <f t="shared" ca="1" si="1"/>
        <v>6.4448505926393345E-3</v>
      </c>
      <c r="AJ10" s="3">
        <f t="shared" ca="1" si="1"/>
        <v>2.4427646090269877E-3</v>
      </c>
      <c r="AK10" s="3">
        <f t="shared" ca="1" si="1"/>
        <v>4.0965995184974729E-4</v>
      </c>
      <c r="AM10" s="3">
        <f t="shared" ca="1" si="4"/>
        <v>3.0095723065009964E-2</v>
      </c>
    </row>
    <row r="11" spans="1:39" x14ac:dyDescent="0.25">
      <c r="A11" s="3" t="s">
        <v>2</v>
      </c>
      <c r="B11" s="3">
        <v>47</v>
      </c>
      <c r="C11" s="3">
        <v>1</v>
      </c>
      <c r="D11" s="3">
        <v>126242.215</v>
      </c>
      <c r="E11" s="3">
        <v>4.1589999999999998</v>
      </c>
      <c r="F11" s="3">
        <v>132</v>
      </c>
    </row>
    <row r="12" spans="1:39" x14ac:dyDescent="0.25">
      <c r="A12" s="3" t="s">
        <v>2</v>
      </c>
      <c r="B12" s="3">
        <v>47</v>
      </c>
      <c r="C12" s="3">
        <v>1</v>
      </c>
      <c r="D12" s="3">
        <v>126266.031</v>
      </c>
      <c r="E12" s="3">
        <v>4.1449999999999996</v>
      </c>
      <c r="F12" s="3">
        <v>131</v>
      </c>
    </row>
    <row r="13" spans="1:39" x14ac:dyDescent="0.25">
      <c r="A13" s="3" t="s">
        <v>2</v>
      </c>
      <c r="B13" s="3">
        <v>47</v>
      </c>
      <c r="C13" s="3">
        <v>1</v>
      </c>
      <c r="D13" s="3">
        <v>126296.182</v>
      </c>
      <c r="E13" s="3">
        <v>4.1479999999999997</v>
      </c>
      <c r="F13" s="3">
        <v>133</v>
      </c>
    </row>
    <row r="14" spans="1:39" x14ac:dyDescent="0.25">
      <c r="A14" s="3" t="s">
        <v>2</v>
      </c>
      <c r="B14" s="3">
        <v>47</v>
      </c>
      <c r="C14" s="3">
        <v>1</v>
      </c>
      <c r="D14" s="3">
        <v>126199.064</v>
      </c>
      <c r="E14" s="3">
        <v>4.1550000000000002</v>
      </c>
      <c r="F14" s="3">
        <v>129</v>
      </c>
    </row>
    <row r="15" spans="1:39" x14ac:dyDescent="0.25">
      <c r="A15" s="3" t="s">
        <v>2</v>
      </c>
      <c r="B15" s="3">
        <v>47</v>
      </c>
      <c r="C15" s="3">
        <v>1</v>
      </c>
      <c r="D15" s="3">
        <v>126209.86900000001</v>
      </c>
      <c r="E15" s="3">
        <v>4.1500000000000004</v>
      </c>
      <c r="F15" s="3">
        <v>131</v>
      </c>
    </row>
    <row r="16" spans="1:39" x14ac:dyDescent="0.25">
      <c r="A16" s="3" t="s">
        <v>2</v>
      </c>
      <c r="B16" s="3">
        <v>47</v>
      </c>
      <c r="C16" s="3">
        <v>1</v>
      </c>
      <c r="D16" s="3">
        <v>126214.79700000001</v>
      </c>
      <c r="E16" s="3">
        <v>4.1440000000000001</v>
      </c>
      <c r="F16" s="3">
        <v>131</v>
      </c>
    </row>
    <row r="17" spans="1:6" x14ac:dyDescent="0.25">
      <c r="A17" s="3" t="s">
        <v>2</v>
      </c>
      <c r="B17" s="3">
        <v>47</v>
      </c>
      <c r="C17" s="3">
        <v>1</v>
      </c>
      <c r="D17" s="3">
        <v>126288.05899999999</v>
      </c>
      <c r="E17" s="3">
        <v>4.1520000000000001</v>
      </c>
      <c r="F17" s="3">
        <v>129</v>
      </c>
    </row>
    <row r="18" spans="1:6" x14ac:dyDescent="0.25">
      <c r="A18" s="3" t="s">
        <v>2</v>
      </c>
      <c r="B18" s="3">
        <v>47</v>
      </c>
      <c r="C18" s="3">
        <v>1</v>
      </c>
      <c r="D18" s="3">
        <v>126195.234</v>
      </c>
      <c r="E18" s="3">
        <v>4.16</v>
      </c>
      <c r="F18" s="3">
        <v>127</v>
      </c>
    </row>
    <row r="19" spans="1:6" x14ac:dyDescent="0.25">
      <c r="A19" s="3" t="s">
        <v>2</v>
      </c>
      <c r="B19" s="3">
        <v>47</v>
      </c>
      <c r="C19" s="3">
        <v>1</v>
      </c>
      <c r="D19" s="3">
        <v>126173.298</v>
      </c>
      <c r="E19" s="3">
        <v>4.157</v>
      </c>
      <c r="F19" s="3">
        <v>131</v>
      </c>
    </row>
    <row r="20" spans="1:6" x14ac:dyDescent="0.25">
      <c r="A20" s="3" t="s">
        <v>2</v>
      </c>
      <c r="B20" s="3">
        <v>47</v>
      </c>
      <c r="C20" s="3">
        <v>1</v>
      </c>
      <c r="D20" s="3">
        <v>126230.452</v>
      </c>
      <c r="E20" s="3">
        <v>4.157</v>
      </c>
      <c r="F20" s="3">
        <v>131</v>
      </c>
    </row>
    <row r="21" spans="1:6" x14ac:dyDescent="0.25">
      <c r="A21" s="3" t="s">
        <v>2</v>
      </c>
      <c r="B21" s="3">
        <v>100</v>
      </c>
      <c r="C21" s="3">
        <v>1</v>
      </c>
      <c r="D21" s="3">
        <v>1217080.9750000001</v>
      </c>
      <c r="E21" s="3">
        <v>22.166</v>
      </c>
      <c r="F21" s="3">
        <v>134</v>
      </c>
    </row>
    <row r="22" spans="1:6" x14ac:dyDescent="0.25">
      <c r="A22" s="3" t="s">
        <v>2</v>
      </c>
      <c r="B22" s="3">
        <v>100</v>
      </c>
      <c r="C22" s="3">
        <v>1</v>
      </c>
      <c r="D22" s="3">
        <v>1216734.22</v>
      </c>
      <c r="E22" s="3">
        <v>22.062000000000001</v>
      </c>
      <c r="F22" s="3">
        <v>131</v>
      </c>
    </row>
    <row r="23" spans="1:6" x14ac:dyDescent="0.25">
      <c r="A23" s="3" t="s">
        <v>2</v>
      </c>
      <c r="B23" s="3">
        <v>100</v>
      </c>
      <c r="C23" s="3">
        <v>1</v>
      </c>
      <c r="D23" s="3">
        <v>1216716.946</v>
      </c>
      <c r="E23" s="3">
        <v>22.125</v>
      </c>
      <c r="F23" s="3">
        <v>130</v>
      </c>
    </row>
    <row r="24" spans="1:6" x14ac:dyDescent="0.25">
      <c r="A24" s="3" t="s">
        <v>2</v>
      </c>
      <c r="B24" s="3">
        <v>100</v>
      </c>
      <c r="C24" s="3">
        <v>1</v>
      </c>
      <c r="D24" s="3">
        <v>1216922.8629999999</v>
      </c>
      <c r="E24" s="3">
        <v>22.135999999999999</v>
      </c>
      <c r="F24" s="3">
        <v>132</v>
      </c>
    </row>
    <row r="25" spans="1:6" x14ac:dyDescent="0.25">
      <c r="A25" s="3" t="s">
        <v>2</v>
      </c>
      <c r="B25" s="3">
        <v>100</v>
      </c>
      <c r="C25" s="3">
        <v>1</v>
      </c>
      <c r="D25" s="3">
        <v>1216586.4469999999</v>
      </c>
      <c r="E25" s="3">
        <v>22.123999999999999</v>
      </c>
      <c r="F25" s="3">
        <v>135</v>
      </c>
    </row>
    <row r="26" spans="1:6" x14ac:dyDescent="0.25">
      <c r="A26" s="3" t="s">
        <v>2</v>
      </c>
      <c r="B26" s="3">
        <v>100</v>
      </c>
      <c r="C26" s="3">
        <v>1</v>
      </c>
      <c r="D26" s="3">
        <v>1217104.3400000001</v>
      </c>
      <c r="E26" s="3">
        <v>22.058</v>
      </c>
      <c r="F26" s="3">
        <v>131</v>
      </c>
    </row>
    <row r="27" spans="1:6" x14ac:dyDescent="0.25">
      <c r="A27" s="3" t="s">
        <v>2</v>
      </c>
      <c r="B27" s="3">
        <v>100</v>
      </c>
      <c r="C27" s="3">
        <v>1</v>
      </c>
      <c r="D27" s="3">
        <v>1217324.129</v>
      </c>
      <c r="E27" s="3">
        <v>22.108000000000001</v>
      </c>
      <c r="F27" s="3">
        <v>129</v>
      </c>
    </row>
    <row r="28" spans="1:6" x14ac:dyDescent="0.25">
      <c r="A28" s="3" t="s">
        <v>2</v>
      </c>
      <c r="B28" s="3">
        <v>100</v>
      </c>
      <c r="C28" s="3">
        <v>1</v>
      </c>
      <c r="D28" s="3">
        <v>1217039.925</v>
      </c>
      <c r="E28" s="3">
        <v>22.074999999999999</v>
      </c>
      <c r="F28" s="3">
        <v>130</v>
      </c>
    </row>
    <row r="29" spans="1:6" x14ac:dyDescent="0.25">
      <c r="A29" s="3" t="s">
        <v>2</v>
      </c>
      <c r="B29" s="3">
        <v>100</v>
      </c>
      <c r="C29" s="3">
        <v>1</v>
      </c>
      <c r="D29" s="3">
        <v>1217096.5619999999</v>
      </c>
      <c r="E29" s="3">
        <v>22.157</v>
      </c>
      <c r="F29" s="3">
        <v>134</v>
      </c>
    </row>
    <row r="30" spans="1:6" x14ac:dyDescent="0.25">
      <c r="A30" s="3" t="s">
        <v>2</v>
      </c>
      <c r="B30" s="3">
        <v>100</v>
      </c>
      <c r="C30" s="3">
        <v>1</v>
      </c>
      <c r="D30" s="3">
        <v>1216763.5290000001</v>
      </c>
      <c r="E30" s="3">
        <v>22.141999999999999</v>
      </c>
      <c r="F30" s="3">
        <v>134</v>
      </c>
    </row>
    <row r="31" spans="1:6" x14ac:dyDescent="0.25">
      <c r="A31" s="3" t="s">
        <v>1</v>
      </c>
      <c r="B31" s="3">
        <v>30</v>
      </c>
      <c r="C31" s="3">
        <v>1</v>
      </c>
      <c r="D31" s="3">
        <v>19997.648000000001</v>
      </c>
      <c r="E31" s="3">
        <v>1.351</v>
      </c>
      <c r="F31" s="3">
        <v>96</v>
      </c>
    </row>
    <row r="32" spans="1:6" x14ac:dyDescent="0.25">
      <c r="A32" s="3" t="s">
        <v>1</v>
      </c>
      <c r="B32" s="3">
        <v>30</v>
      </c>
      <c r="C32" s="3">
        <v>1</v>
      </c>
      <c r="D32" s="3">
        <v>20029.13</v>
      </c>
      <c r="E32" s="3">
        <v>1.353</v>
      </c>
      <c r="F32" s="3">
        <v>90</v>
      </c>
    </row>
    <row r="33" spans="1:6" x14ac:dyDescent="0.25">
      <c r="A33" s="3" t="s">
        <v>1</v>
      </c>
      <c r="B33" s="3">
        <v>30</v>
      </c>
      <c r="C33" s="3">
        <v>1</v>
      </c>
      <c r="D33" s="3">
        <v>19995.598999999998</v>
      </c>
      <c r="E33" s="3">
        <v>1.35</v>
      </c>
      <c r="F33" s="3">
        <v>101</v>
      </c>
    </row>
    <row r="34" spans="1:6" x14ac:dyDescent="0.25">
      <c r="A34" s="3" t="s">
        <v>1</v>
      </c>
      <c r="B34" s="3">
        <v>30</v>
      </c>
      <c r="C34" s="3">
        <v>1</v>
      </c>
      <c r="D34" s="3">
        <v>19983.853999999999</v>
      </c>
      <c r="E34" s="3">
        <v>1.349</v>
      </c>
      <c r="F34" s="3">
        <v>97</v>
      </c>
    </row>
    <row r="35" spans="1:6" x14ac:dyDescent="0.25">
      <c r="A35" s="3" t="s">
        <v>1</v>
      </c>
      <c r="B35" s="3">
        <v>30</v>
      </c>
      <c r="C35" s="3">
        <v>1</v>
      </c>
      <c r="D35" s="3">
        <v>20020.685000000001</v>
      </c>
      <c r="E35" s="3">
        <v>1.355</v>
      </c>
      <c r="F35" s="3">
        <v>97</v>
      </c>
    </row>
    <row r="36" spans="1:6" x14ac:dyDescent="0.25">
      <c r="A36" s="3" t="s">
        <v>1</v>
      </c>
      <c r="B36" s="3">
        <v>30</v>
      </c>
      <c r="C36" s="3">
        <v>1</v>
      </c>
      <c r="D36" s="3">
        <v>20028.159</v>
      </c>
      <c r="E36" s="3">
        <v>1.355</v>
      </c>
      <c r="F36" s="3">
        <v>98</v>
      </c>
    </row>
    <row r="37" spans="1:6" x14ac:dyDescent="0.25">
      <c r="A37" s="3" t="s">
        <v>1</v>
      </c>
      <c r="B37" s="3">
        <v>30</v>
      </c>
      <c r="C37" s="3">
        <v>1</v>
      </c>
      <c r="D37" s="3">
        <v>20024.5</v>
      </c>
      <c r="E37" s="3">
        <v>1.3480000000000001</v>
      </c>
      <c r="F37" s="3">
        <v>97</v>
      </c>
    </row>
    <row r="38" spans="1:6" x14ac:dyDescent="0.25">
      <c r="A38" s="3" t="s">
        <v>1</v>
      </c>
      <c r="B38" s="3">
        <v>30</v>
      </c>
      <c r="C38" s="3">
        <v>1</v>
      </c>
      <c r="D38" s="3">
        <v>20050.563999999998</v>
      </c>
      <c r="E38" s="3">
        <v>1.349</v>
      </c>
      <c r="F38" s="3">
        <v>98</v>
      </c>
    </row>
    <row r="39" spans="1:6" x14ac:dyDescent="0.25">
      <c r="A39" s="3" t="s">
        <v>1</v>
      </c>
      <c r="B39" s="3">
        <v>30</v>
      </c>
      <c r="C39" s="3">
        <v>1</v>
      </c>
      <c r="D39" s="3">
        <v>20069.775000000001</v>
      </c>
      <c r="E39" s="3">
        <v>1.3480000000000001</v>
      </c>
      <c r="F39" s="3">
        <v>88</v>
      </c>
    </row>
    <row r="40" spans="1:6" x14ac:dyDescent="0.25">
      <c r="A40" s="3" t="s">
        <v>1</v>
      </c>
      <c r="B40" s="3">
        <v>30</v>
      </c>
      <c r="C40" s="3">
        <v>1</v>
      </c>
      <c r="D40" s="3">
        <v>19993.401000000002</v>
      </c>
      <c r="E40" s="3">
        <v>1.355</v>
      </c>
      <c r="F40" s="3">
        <v>100</v>
      </c>
    </row>
    <row r="41" spans="1:6" x14ac:dyDescent="0.25">
      <c r="A41" s="3" t="s">
        <v>1</v>
      </c>
      <c r="B41" s="3">
        <v>50</v>
      </c>
      <c r="C41" s="3">
        <v>1</v>
      </c>
      <c r="D41" s="3">
        <v>35311.826999999997</v>
      </c>
      <c r="E41" s="3">
        <v>3.0510000000000002</v>
      </c>
      <c r="F41" s="3">
        <v>80</v>
      </c>
    </row>
    <row r="42" spans="1:6" x14ac:dyDescent="0.25">
      <c r="A42" s="3" t="s">
        <v>1</v>
      </c>
      <c r="B42" s="3">
        <v>50</v>
      </c>
      <c r="C42" s="3">
        <v>1</v>
      </c>
      <c r="D42" s="3">
        <v>35331.527999999998</v>
      </c>
      <c r="E42" s="3">
        <v>3.036</v>
      </c>
      <c r="F42" s="3">
        <v>77</v>
      </c>
    </row>
    <row r="43" spans="1:6" x14ac:dyDescent="0.25">
      <c r="A43" s="3" t="s">
        <v>1</v>
      </c>
      <c r="B43" s="3">
        <v>50</v>
      </c>
      <c r="C43" s="3">
        <v>1</v>
      </c>
      <c r="D43" s="3">
        <v>35391.343000000001</v>
      </c>
      <c r="E43" s="3">
        <v>3.0390000000000001</v>
      </c>
      <c r="F43" s="3">
        <v>77</v>
      </c>
    </row>
    <row r="44" spans="1:6" x14ac:dyDescent="0.25">
      <c r="A44" s="3" t="s">
        <v>1</v>
      </c>
      <c r="B44" s="3">
        <v>50</v>
      </c>
      <c r="C44" s="3">
        <v>1</v>
      </c>
      <c r="D44" s="3">
        <v>35328.875</v>
      </c>
      <c r="E44" s="3">
        <v>3.0409999999999999</v>
      </c>
      <c r="F44" s="3">
        <v>76</v>
      </c>
    </row>
    <row r="45" spans="1:6" x14ac:dyDescent="0.25">
      <c r="A45" s="3" t="s">
        <v>1</v>
      </c>
      <c r="B45" s="3">
        <v>50</v>
      </c>
      <c r="C45" s="3">
        <v>1</v>
      </c>
      <c r="D45" s="3">
        <v>35362.845999999998</v>
      </c>
      <c r="E45" s="3">
        <v>3.0409999999999999</v>
      </c>
      <c r="F45" s="3">
        <v>79</v>
      </c>
    </row>
    <row r="46" spans="1:6" x14ac:dyDescent="0.25">
      <c r="A46" s="3" t="s">
        <v>1</v>
      </c>
      <c r="B46" s="3">
        <v>50</v>
      </c>
      <c r="C46" s="3">
        <v>1</v>
      </c>
      <c r="D46" s="3">
        <v>35363.442000000003</v>
      </c>
      <c r="E46" s="3">
        <v>3.04</v>
      </c>
      <c r="F46" s="3">
        <v>75</v>
      </c>
    </row>
    <row r="47" spans="1:6" x14ac:dyDescent="0.25">
      <c r="A47" s="3" t="s">
        <v>1</v>
      </c>
      <c r="B47" s="3">
        <v>50</v>
      </c>
      <c r="C47" s="3">
        <v>1</v>
      </c>
      <c r="D47" s="3">
        <v>35316.322</v>
      </c>
      <c r="E47" s="3">
        <v>3.0329999999999999</v>
      </c>
      <c r="F47" s="3">
        <v>77</v>
      </c>
    </row>
    <row r="48" spans="1:6" x14ac:dyDescent="0.25">
      <c r="A48" s="3" t="s">
        <v>1</v>
      </c>
      <c r="B48" s="3">
        <v>50</v>
      </c>
      <c r="C48" s="3">
        <v>1</v>
      </c>
      <c r="D48" s="3">
        <v>35325.671999999999</v>
      </c>
      <c r="E48" s="3">
        <v>3.0489999999999999</v>
      </c>
      <c r="F48" s="3">
        <v>77</v>
      </c>
    </row>
    <row r="49" spans="1:6" x14ac:dyDescent="0.25">
      <c r="A49" s="3" t="s">
        <v>1</v>
      </c>
      <c r="B49" s="3">
        <v>50</v>
      </c>
      <c r="C49" s="3">
        <v>1</v>
      </c>
      <c r="D49" s="3">
        <v>35384.508999999998</v>
      </c>
      <c r="E49" s="3">
        <v>3.0539999999999998</v>
      </c>
      <c r="F49" s="3">
        <v>76</v>
      </c>
    </row>
    <row r="50" spans="1:6" x14ac:dyDescent="0.25">
      <c r="A50" s="3" t="s">
        <v>1</v>
      </c>
      <c r="B50" s="3">
        <v>50</v>
      </c>
      <c r="C50" s="3">
        <v>1</v>
      </c>
      <c r="D50" s="3">
        <v>35298.909</v>
      </c>
      <c r="E50" s="3">
        <v>3.0550000000000002</v>
      </c>
      <c r="F50" s="3">
        <v>78</v>
      </c>
    </row>
    <row r="51" spans="1:6" x14ac:dyDescent="0.25">
      <c r="A51" s="3" t="s">
        <v>1</v>
      </c>
      <c r="B51" s="3">
        <v>100</v>
      </c>
      <c r="C51" s="3">
        <v>1</v>
      </c>
      <c r="D51" s="3">
        <v>63062.845000000001</v>
      </c>
      <c r="E51" s="3">
        <v>11.706</v>
      </c>
      <c r="F51" s="3">
        <v>71</v>
      </c>
    </row>
    <row r="52" spans="1:6" x14ac:dyDescent="0.25">
      <c r="A52" s="3" t="s">
        <v>1</v>
      </c>
      <c r="B52" s="3">
        <v>100</v>
      </c>
      <c r="C52" s="3">
        <v>1</v>
      </c>
      <c r="D52" s="3">
        <v>63124.196000000004</v>
      </c>
      <c r="E52" s="3">
        <v>11.744999999999999</v>
      </c>
      <c r="F52" s="3">
        <v>72</v>
      </c>
    </row>
    <row r="53" spans="1:6" x14ac:dyDescent="0.25">
      <c r="A53" s="3" t="s">
        <v>1</v>
      </c>
      <c r="B53" s="3">
        <v>100</v>
      </c>
      <c r="C53" s="3">
        <v>1</v>
      </c>
      <c r="D53" s="3">
        <v>63133.17</v>
      </c>
      <c r="E53" s="3">
        <v>11.688000000000001</v>
      </c>
      <c r="F53" s="3">
        <v>68</v>
      </c>
    </row>
    <row r="54" spans="1:6" x14ac:dyDescent="0.25">
      <c r="A54" s="3" t="s">
        <v>1</v>
      </c>
      <c r="B54" s="3">
        <v>100</v>
      </c>
      <c r="C54" s="3">
        <v>1</v>
      </c>
      <c r="D54" s="3">
        <v>63120.084000000003</v>
      </c>
      <c r="E54" s="3">
        <v>11.765000000000001</v>
      </c>
      <c r="F54" s="3">
        <v>72</v>
      </c>
    </row>
    <row r="55" spans="1:6" x14ac:dyDescent="0.25">
      <c r="A55" s="3" t="s">
        <v>1</v>
      </c>
      <c r="B55" s="3">
        <v>100</v>
      </c>
      <c r="C55" s="3">
        <v>1</v>
      </c>
      <c r="D55" s="3">
        <v>63099.803999999996</v>
      </c>
      <c r="E55" s="3">
        <v>11.760999999999999</v>
      </c>
      <c r="F55" s="3">
        <v>70</v>
      </c>
    </row>
    <row r="56" spans="1:6" x14ac:dyDescent="0.25">
      <c r="A56" s="3" t="s">
        <v>1</v>
      </c>
      <c r="B56" s="3">
        <v>100</v>
      </c>
      <c r="C56" s="3">
        <v>1</v>
      </c>
      <c r="D56" s="3">
        <v>63090.815000000002</v>
      </c>
      <c r="E56" s="3">
        <v>11.69</v>
      </c>
      <c r="F56" s="3">
        <v>68</v>
      </c>
    </row>
    <row r="57" spans="1:6" x14ac:dyDescent="0.25">
      <c r="A57" s="3" t="s">
        <v>1</v>
      </c>
      <c r="B57" s="3">
        <v>100</v>
      </c>
      <c r="C57" s="3">
        <v>1</v>
      </c>
      <c r="D57" s="3">
        <v>63114.186999999998</v>
      </c>
      <c r="E57" s="3">
        <v>11.766</v>
      </c>
      <c r="F57" s="3">
        <v>70</v>
      </c>
    </row>
    <row r="58" spans="1:6" x14ac:dyDescent="0.25">
      <c r="A58" s="3" t="s">
        <v>1</v>
      </c>
      <c r="B58" s="3">
        <v>100</v>
      </c>
      <c r="C58" s="3">
        <v>1</v>
      </c>
      <c r="D58" s="3">
        <v>63169.375</v>
      </c>
      <c r="E58" s="3">
        <v>11.79</v>
      </c>
      <c r="F58" s="3">
        <v>69</v>
      </c>
    </row>
    <row r="59" spans="1:6" x14ac:dyDescent="0.25">
      <c r="A59" s="3" t="s">
        <v>1</v>
      </c>
      <c r="B59" s="3">
        <v>100</v>
      </c>
      <c r="C59" s="3">
        <v>1</v>
      </c>
      <c r="D59" s="3">
        <v>63133.125</v>
      </c>
      <c r="E59" s="3">
        <v>11.701000000000001</v>
      </c>
      <c r="F59" s="3">
        <v>69</v>
      </c>
    </row>
    <row r="60" spans="1:6" x14ac:dyDescent="0.25">
      <c r="A60" s="3" t="s">
        <v>1</v>
      </c>
      <c r="B60" s="3">
        <v>100</v>
      </c>
      <c r="C60" s="3">
        <v>1</v>
      </c>
      <c r="D60" s="3">
        <v>63101.063999999998</v>
      </c>
      <c r="E60" s="3">
        <v>11.724</v>
      </c>
      <c r="F60" s="3">
        <v>70</v>
      </c>
    </row>
    <row r="61" spans="1:6" x14ac:dyDescent="0.25">
      <c r="A61" s="3" t="s">
        <v>0</v>
      </c>
      <c r="B61" s="3">
        <v>25</v>
      </c>
      <c r="C61" s="3">
        <v>1</v>
      </c>
      <c r="D61" s="3">
        <v>723.12199999999996</v>
      </c>
      <c r="E61" s="3">
        <v>0.99299999999999999</v>
      </c>
      <c r="F61" s="3">
        <v>76</v>
      </c>
    </row>
    <row r="62" spans="1:6" x14ac:dyDescent="0.25">
      <c r="A62" s="3" t="s">
        <v>0</v>
      </c>
      <c r="B62" s="3">
        <v>25</v>
      </c>
      <c r="C62" s="3">
        <v>1</v>
      </c>
      <c r="D62" s="3">
        <v>723.5</v>
      </c>
      <c r="E62" s="3">
        <v>0.90600000000000003</v>
      </c>
      <c r="F62" s="3">
        <v>94</v>
      </c>
    </row>
    <row r="63" spans="1:6" x14ac:dyDescent="0.25">
      <c r="A63" s="3" t="s">
        <v>0</v>
      </c>
      <c r="B63" s="3">
        <v>25</v>
      </c>
      <c r="C63" s="3">
        <v>1</v>
      </c>
      <c r="D63" s="3">
        <v>723.77700000000004</v>
      </c>
      <c r="E63" s="3">
        <v>0.90300000000000002</v>
      </c>
      <c r="F63" s="3">
        <v>93</v>
      </c>
    </row>
    <row r="64" spans="1:6" x14ac:dyDescent="0.25">
      <c r="A64" s="3" t="s">
        <v>0</v>
      </c>
      <c r="B64" s="3">
        <v>25</v>
      </c>
      <c r="C64" s="3">
        <v>1</v>
      </c>
      <c r="D64" s="3">
        <v>723.29399999999998</v>
      </c>
      <c r="E64" s="3">
        <v>0.90500000000000003</v>
      </c>
      <c r="F64" s="3">
        <v>94</v>
      </c>
    </row>
    <row r="65" spans="1:6" x14ac:dyDescent="0.25">
      <c r="A65" s="3" t="s">
        <v>0</v>
      </c>
      <c r="B65" s="3">
        <v>25</v>
      </c>
      <c r="C65" s="3">
        <v>1</v>
      </c>
      <c r="D65" s="3">
        <v>723.226</v>
      </c>
      <c r="E65" s="3">
        <v>0.90600000000000003</v>
      </c>
      <c r="F65" s="3">
        <v>84</v>
      </c>
    </row>
    <row r="66" spans="1:6" x14ac:dyDescent="0.25">
      <c r="A66" s="3" t="s">
        <v>0</v>
      </c>
      <c r="B66" s="3">
        <v>25</v>
      </c>
      <c r="C66" s="3">
        <v>1</v>
      </c>
      <c r="D66" s="3">
        <v>723.27599999999995</v>
      </c>
      <c r="E66" s="3">
        <v>0.90400000000000003</v>
      </c>
      <c r="F66" s="3">
        <v>98</v>
      </c>
    </row>
    <row r="67" spans="1:6" x14ac:dyDescent="0.25">
      <c r="A67" s="3" t="s">
        <v>0</v>
      </c>
      <c r="B67" s="3">
        <v>25</v>
      </c>
      <c r="C67" s="3">
        <v>1</v>
      </c>
      <c r="D67" s="3">
        <v>723.48299999999995</v>
      </c>
      <c r="E67" s="3">
        <v>0.90500000000000003</v>
      </c>
      <c r="F67" s="3">
        <v>80</v>
      </c>
    </row>
    <row r="68" spans="1:6" x14ac:dyDescent="0.25">
      <c r="A68" s="3" t="s">
        <v>0</v>
      </c>
      <c r="B68" s="3">
        <v>25</v>
      </c>
      <c r="C68" s="3">
        <v>1</v>
      </c>
      <c r="D68" s="3">
        <v>723.03399999999999</v>
      </c>
      <c r="E68" s="3">
        <v>0.90200000000000002</v>
      </c>
      <c r="F68" s="3">
        <v>97</v>
      </c>
    </row>
    <row r="69" spans="1:6" x14ac:dyDescent="0.25">
      <c r="A69" s="3" t="s">
        <v>0</v>
      </c>
      <c r="B69" s="3">
        <v>25</v>
      </c>
      <c r="C69" s="3">
        <v>1</v>
      </c>
      <c r="D69" s="3">
        <v>723.07399999999996</v>
      </c>
      <c r="E69" s="3">
        <v>0.90100000000000002</v>
      </c>
      <c r="F69" s="3">
        <v>81</v>
      </c>
    </row>
    <row r="70" spans="1:6" x14ac:dyDescent="0.25">
      <c r="A70" s="3" t="s">
        <v>0</v>
      </c>
      <c r="B70" s="3">
        <v>25</v>
      </c>
      <c r="C70" s="3">
        <v>1</v>
      </c>
      <c r="D70" s="3">
        <v>723.50699999999995</v>
      </c>
      <c r="E70" s="3">
        <v>0.90500000000000003</v>
      </c>
      <c r="F70" s="3">
        <v>91</v>
      </c>
    </row>
    <row r="71" spans="1:6" x14ac:dyDescent="0.25">
      <c r="A71" s="3" t="s">
        <v>0</v>
      </c>
      <c r="B71" s="3">
        <v>50</v>
      </c>
      <c r="C71" s="3">
        <v>1</v>
      </c>
      <c r="D71" s="3">
        <v>1571.85</v>
      </c>
      <c r="E71" s="3">
        <v>3.3839999999999999</v>
      </c>
      <c r="F71" s="3">
        <v>86</v>
      </c>
    </row>
    <row r="72" spans="1:6" x14ac:dyDescent="0.25">
      <c r="A72" s="3" t="s">
        <v>0</v>
      </c>
      <c r="B72" s="3">
        <v>50</v>
      </c>
      <c r="C72" s="3">
        <v>1</v>
      </c>
      <c r="D72" s="3">
        <v>1571.778</v>
      </c>
      <c r="E72" s="3">
        <v>3.3820000000000001</v>
      </c>
      <c r="F72" s="3">
        <v>90</v>
      </c>
    </row>
    <row r="73" spans="1:6" x14ac:dyDescent="0.25">
      <c r="A73" s="3" t="s">
        <v>0</v>
      </c>
      <c r="B73" s="3">
        <v>50</v>
      </c>
      <c r="C73" s="3">
        <v>1</v>
      </c>
      <c r="D73" s="3">
        <v>1571.21</v>
      </c>
      <c r="E73" s="3">
        <v>3.3929999999999998</v>
      </c>
      <c r="F73" s="3">
        <v>87</v>
      </c>
    </row>
    <row r="74" spans="1:6" x14ac:dyDescent="0.25">
      <c r="A74" s="3" t="s">
        <v>0</v>
      </c>
      <c r="B74" s="3">
        <v>50</v>
      </c>
      <c r="C74" s="3">
        <v>1</v>
      </c>
      <c r="D74" s="3">
        <v>1571.845</v>
      </c>
      <c r="E74" s="3">
        <v>3.3719999999999999</v>
      </c>
      <c r="F74" s="3">
        <v>92</v>
      </c>
    </row>
    <row r="75" spans="1:6" x14ac:dyDescent="0.25">
      <c r="A75" s="3" t="s">
        <v>0</v>
      </c>
      <c r="B75" s="3">
        <v>50</v>
      </c>
      <c r="C75" s="3">
        <v>1</v>
      </c>
      <c r="D75" s="3">
        <v>1571.3710000000001</v>
      </c>
      <c r="E75" s="3">
        <v>3.367</v>
      </c>
      <c r="F75" s="3">
        <v>86</v>
      </c>
    </row>
    <row r="76" spans="1:6" x14ac:dyDescent="0.25">
      <c r="A76" s="3" t="s">
        <v>0</v>
      </c>
      <c r="B76" s="3">
        <v>50</v>
      </c>
      <c r="C76" s="3">
        <v>1</v>
      </c>
      <c r="D76" s="3">
        <v>1571.6659999999999</v>
      </c>
      <c r="E76" s="3">
        <v>3.3839999999999999</v>
      </c>
      <c r="F76" s="3">
        <v>89</v>
      </c>
    </row>
    <row r="77" spans="1:6" x14ac:dyDescent="0.25">
      <c r="A77" s="3" t="s">
        <v>0</v>
      </c>
      <c r="B77" s="3">
        <v>50</v>
      </c>
      <c r="C77" s="3">
        <v>1</v>
      </c>
      <c r="D77" s="3">
        <v>1570.759</v>
      </c>
      <c r="E77" s="3">
        <v>3.3740000000000001</v>
      </c>
      <c r="F77" s="3">
        <v>88</v>
      </c>
    </row>
    <row r="78" spans="1:6" x14ac:dyDescent="0.25">
      <c r="A78" s="3" t="s">
        <v>0</v>
      </c>
      <c r="B78" s="3">
        <v>50</v>
      </c>
      <c r="C78" s="3">
        <v>1</v>
      </c>
      <c r="D78" s="3">
        <v>1571.48</v>
      </c>
      <c r="E78" s="3">
        <v>3.375</v>
      </c>
      <c r="F78" s="3">
        <v>90</v>
      </c>
    </row>
    <row r="79" spans="1:6" x14ac:dyDescent="0.25">
      <c r="A79" s="3" t="s">
        <v>0</v>
      </c>
      <c r="B79" s="3">
        <v>50</v>
      </c>
      <c r="C79" s="3">
        <v>1</v>
      </c>
      <c r="D79" s="3">
        <v>1572.296</v>
      </c>
      <c r="E79" s="3">
        <v>3.3839999999999999</v>
      </c>
      <c r="F79" s="3">
        <v>91</v>
      </c>
    </row>
    <row r="80" spans="1:6" x14ac:dyDescent="0.25">
      <c r="A80" s="3" t="s">
        <v>0</v>
      </c>
      <c r="B80" s="3">
        <v>50</v>
      </c>
      <c r="C80" s="3">
        <v>1</v>
      </c>
      <c r="D80" s="3">
        <v>1571.32</v>
      </c>
      <c r="E80" s="3">
        <v>3.3780000000000001</v>
      </c>
      <c r="F80" s="3">
        <v>87</v>
      </c>
    </row>
    <row r="81" spans="1:6" x14ac:dyDescent="0.25">
      <c r="A81" s="3" t="s">
        <v>0</v>
      </c>
      <c r="B81" s="3">
        <v>100</v>
      </c>
      <c r="C81" s="3">
        <v>1</v>
      </c>
      <c r="D81" s="3">
        <v>3298.0140000000001</v>
      </c>
      <c r="E81" s="3">
        <v>11.362</v>
      </c>
      <c r="F81" s="3">
        <v>69</v>
      </c>
    </row>
    <row r="82" spans="1:6" x14ac:dyDescent="0.25">
      <c r="A82" s="3" t="s">
        <v>0</v>
      </c>
      <c r="B82" s="3">
        <v>100</v>
      </c>
      <c r="C82" s="3">
        <v>1</v>
      </c>
      <c r="D82" s="3">
        <v>3297.326</v>
      </c>
      <c r="E82" s="3">
        <v>11.397</v>
      </c>
      <c r="F82" s="3">
        <v>69</v>
      </c>
    </row>
    <row r="83" spans="1:6" x14ac:dyDescent="0.25">
      <c r="A83" s="3" t="s">
        <v>0</v>
      </c>
      <c r="B83" s="3">
        <v>100</v>
      </c>
      <c r="C83" s="3">
        <v>1</v>
      </c>
      <c r="D83" s="3">
        <v>3298.739</v>
      </c>
      <c r="E83" s="3">
        <v>11.401</v>
      </c>
      <c r="F83" s="3">
        <v>70</v>
      </c>
    </row>
    <row r="84" spans="1:6" x14ac:dyDescent="0.25">
      <c r="A84" s="3" t="s">
        <v>0</v>
      </c>
      <c r="B84" s="3">
        <v>100</v>
      </c>
      <c r="C84" s="3">
        <v>1</v>
      </c>
      <c r="D84" s="3">
        <v>3298.317</v>
      </c>
      <c r="E84" s="3">
        <v>11.34</v>
      </c>
      <c r="F84" s="3">
        <v>69</v>
      </c>
    </row>
    <row r="85" spans="1:6" x14ac:dyDescent="0.25">
      <c r="A85" s="3" t="s">
        <v>0</v>
      </c>
      <c r="B85" s="3">
        <v>100</v>
      </c>
      <c r="C85" s="3">
        <v>1</v>
      </c>
      <c r="D85" s="3">
        <v>3322.7890000000002</v>
      </c>
      <c r="E85" s="3">
        <v>11.401999999999999</v>
      </c>
      <c r="F85" s="3">
        <v>68</v>
      </c>
    </row>
    <row r="86" spans="1:6" x14ac:dyDescent="0.25">
      <c r="A86" s="3" t="s">
        <v>0</v>
      </c>
      <c r="B86" s="3">
        <v>100</v>
      </c>
      <c r="C86" s="3">
        <v>1</v>
      </c>
      <c r="D86" s="3">
        <v>3294.05</v>
      </c>
      <c r="E86" s="3">
        <v>11.32</v>
      </c>
      <c r="F86" s="3">
        <v>70</v>
      </c>
    </row>
    <row r="87" spans="1:6" x14ac:dyDescent="0.25">
      <c r="A87" s="3" t="s">
        <v>0</v>
      </c>
      <c r="B87" s="3">
        <v>100</v>
      </c>
      <c r="C87" s="3">
        <v>1</v>
      </c>
      <c r="D87" s="3">
        <v>3292.9409999999998</v>
      </c>
      <c r="E87" s="3">
        <v>11.382</v>
      </c>
      <c r="F87" s="3">
        <v>69</v>
      </c>
    </row>
    <row r="88" spans="1:6" x14ac:dyDescent="0.25">
      <c r="A88" s="3" t="s">
        <v>0</v>
      </c>
      <c r="B88" s="3">
        <v>100</v>
      </c>
      <c r="C88" s="3">
        <v>1</v>
      </c>
      <c r="D88" s="3">
        <v>3311.741</v>
      </c>
      <c r="E88" s="3">
        <v>11.36</v>
      </c>
      <c r="F88" s="3">
        <v>70</v>
      </c>
    </row>
    <row r="89" spans="1:6" x14ac:dyDescent="0.25">
      <c r="A89" s="3" t="s">
        <v>0</v>
      </c>
      <c r="B89" s="3">
        <v>100</v>
      </c>
      <c r="C89" s="3">
        <v>1</v>
      </c>
      <c r="D89" s="3">
        <v>3298.5720000000001</v>
      </c>
      <c r="E89" s="3">
        <v>11.398999999999999</v>
      </c>
      <c r="F89" s="3">
        <v>69</v>
      </c>
    </row>
    <row r="90" spans="1:6" x14ac:dyDescent="0.25">
      <c r="A90" s="3" t="s">
        <v>0</v>
      </c>
      <c r="B90" s="3">
        <v>100</v>
      </c>
      <c r="C90" s="3">
        <v>1</v>
      </c>
      <c r="D90" s="3">
        <v>3291.8820000000001</v>
      </c>
      <c r="E90" s="3">
        <v>11.318</v>
      </c>
      <c r="F90" s="3">
        <v>69</v>
      </c>
    </row>
  </sheetData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0"/>
  <sheetViews>
    <sheetView zoomScale="85" zoomScaleNormal="85" workbookViewId="0">
      <selection sqref="A1:F91"/>
    </sheetView>
  </sheetViews>
  <sheetFormatPr defaultColWidth="9" defaultRowHeight="15" x14ac:dyDescent="0.25"/>
  <cols>
    <col min="1" max="1" width="9.625" style="3" customWidth="1"/>
    <col min="2" max="2" width="4.375" style="3" bestFit="1" customWidth="1"/>
    <col min="3" max="3" width="2.625" style="3" bestFit="1" customWidth="1"/>
    <col min="4" max="4" width="10.125" style="3" customWidth="1"/>
    <col min="5" max="5" width="7" style="3" bestFit="1" customWidth="1"/>
    <col min="6" max="6" width="4.375" style="3" bestFit="1" customWidth="1"/>
    <col min="7" max="7" width="2.375" style="3" customWidth="1"/>
    <col min="8" max="8" width="9.75" style="3" customWidth="1"/>
    <col min="9" max="9" width="4.375" style="3" bestFit="1" customWidth="1"/>
    <col min="10" max="10" width="3.125" style="3" bestFit="1" customWidth="1"/>
    <col min="11" max="11" width="2.5" style="3" customWidth="1"/>
    <col min="12" max="21" width="9" style="3"/>
    <col min="22" max="22" width="2.5" style="3" customWidth="1"/>
    <col min="23" max="23" width="9" style="3"/>
    <col min="24" max="24" width="2" style="3" customWidth="1"/>
    <col min="25" max="25" width="9" style="3"/>
    <col min="26" max="26" width="2.625" style="3" customWidth="1"/>
    <col min="27" max="27" width="2.5" style="3" customWidth="1"/>
    <col min="28" max="37" width="9" style="3"/>
    <col min="38" max="38" width="5.625" style="3" customWidth="1"/>
    <col min="39" max="16384" width="9" style="3"/>
  </cols>
  <sheetData>
    <row r="1" spans="1:39" x14ac:dyDescent="0.25">
      <c r="A1" s="3" t="s">
        <v>2</v>
      </c>
      <c r="B1" s="3">
        <v>24</v>
      </c>
      <c r="C1" s="3">
        <v>1</v>
      </c>
      <c r="D1" s="3">
        <v>55983.982000000004</v>
      </c>
      <c r="E1" s="3">
        <v>1.2390000000000001</v>
      </c>
      <c r="F1" s="3">
        <v>145</v>
      </c>
      <c r="H1" s="5" t="s">
        <v>13</v>
      </c>
      <c r="I1" s="5" t="s">
        <v>14</v>
      </c>
      <c r="J1" s="5" t="s">
        <v>10</v>
      </c>
      <c r="K1" s="2"/>
      <c r="L1" s="2">
        <v>1</v>
      </c>
      <c r="M1" s="2">
        <v>2</v>
      </c>
      <c r="N1" s="2">
        <v>3</v>
      </c>
      <c r="O1" s="2">
        <v>4</v>
      </c>
      <c r="P1" s="2">
        <v>5</v>
      </c>
      <c r="Q1" s="2">
        <v>6</v>
      </c>
      <c r="R1" s="2">
        <v>7</v>
      </c>
      <c r="S1" s="2">
        <v>8</v>
      </c>
      <c r="T1" s="2">
        <v>9</v>
      </c>
      <c r="U1" s="2">
        <v>10</v>
      </c>
      <c r="W1" s="2" t="s">
        <v>11</v>
      </c>
      <c r="X1" s="2"/>
      <c r="Y1" s="2" t="s">
        <v>9</v>
      </c>
      <c r="Z1" s="2"/>
      <c r="AM1" s="5" t="s">
        <v>12</v>
      </c>
    </row>
    <row r="2" spans="1:39" x14ac:dyDescent="0.25">
      <c r="A2" s="3" t="s">
        <v>2</v>
      </c>
      <c r="B2" s="3">
        <v>24</v>
      </c>
      <c r="C2" s="3">
        <v>1</v>
      </c>
      <c r="D2" s="3">
        <v>55994.298999999999</v>
      </c>
      <c r="E2" s="3">
        <v>1.2410000000000001</v>
      </c>
      <c r="F2" s="3">
        <v>168</v>
      </c>
      <c r="H2" s="3" t="s">
        <v>2</v>
      </c>
      <c r="I2" s="3">
        <v>24</v>
      </c>
      <c r="J2" s="3">
        <v>1</v>
      </c>
      <c r="L2" s="3">
        <f ca="1">INDIRECT("D"&amp;1+(ROW(D1)-1)*10+COLUMN(A1)-1)</f>
        <v>55983.982000000004</v>
      </c>
      <c r="M2" s="3">
        <f t="shared" ref="M2:U10" ca="1" si="0">INDIRECT("D"&amp;1+(ROW(E1)-1)*10+COLUMN(B1)-1)</f>
        <v>55994.298999999999</v>
      </c>
      <c r="N2" s="3">
        <f t="shared" ca="1" si="0"/>
        <v>55995.417999999998</v>
      </c>
      <c r="O2" s="3">
        <f t="shared" ca="1" si="0"/>
        <v>55982.074000000001</v>
      </c>
      <c r="P2" s="3">
        <f t="shared" ca="1" si="0"/>
        <v>55999.953000000001</v>
      </c>
      <c r="Q2" s="3">
        <f t="shared" ca="1" si="0"/>
        <v>55988.38</v>
      </c>
      <c r="R2" s="3">
        <f t="shared" ca="1" si="0"/>
        <v>56000.482000000004</v>
      </c>
      <c r="S2" s="3">
        <f t="shared" ca="1" si="0"/>
        <v>56010.082999999999</v>
      </c>
      <c r="T2" s="3">
        <f t="shared" ca="1" si="0"/>
        <v>55967.851000000002</v>
      </c>
      <c r="U2" s="3">
        <f t="shared" ca="1" si="0"/>
        <v>55989.777000000002</v>
      </c>
      <c r="W2" s="3">
        <f ca="1">AVERAGE(L2:U2)</f>
        <v>55991.229899999998</v>
      </c>
      <c r="Y2" s="3">
        <f ca="1">Total!E2</f>
        <v>55722.476000000002</v>
      </c>
      <c r="AB2" s="3">
        <f t="shared" ref="AB2:AK10" ca="1" si="1">(L2-$Y2)/$Y2</f>
        <v>4.6930075397224134E-3</v>
      </c>
      <c r="AC2" s="3">
        <f t="shared" ca="1" si="1"/>
        <v>4.8781572448431164E-3</v>
      </c>
      <c r="AD2" s="3">
        <f t="shared" ca="1" si="1"/>
        <v>4.8982389081202249E-3</v>
      </c>
      <c r="AE2" s="3">
        <f t="shared" ca="1" si="1"/>
        <v>4.6587664194964722E-3</v>
      </c>
      <c r="AF2" s="3">
        <f t="shared" ca="1" si="1"/>
        <v>4.9796243799360056E-3</v>
      </c>
      <c r="AG2" s="3">
        <f t="shared" ca="1" si="1"/>
        <v>4.7719343986077538E-3</v>
      </c>
      <c r="AH2" s="3">
        <f t="shared" ca="1" si="1"/>
        <v>4.9891178561412312E-3</v>
      </c>
      <c r="AI2" s="3">
        <f t="shared" ca="1" si="1"/>
        <v>5.1614181681373297E-3</v>
      </c>
      <c r="AJ2" s="3">
        <f t="shared" ca="1" si="1"/>
        <v>4.4035193267434845E-3</v>
      </c>
      <c r="AK2" s="3">
        <f t="shared" ca="1" si="1"/>
        <v>4.7970050720646277E-3</v>
      </c>
      <c r="AM2" s="3">
        <f ca="1">SUM(AB2:AK2)</f>
        <v>4.8230789313812653E-2</v>
      </c>
    </row>
    <row r="3" spans="1:39" x14ac:dyDescent="0.25">
      <c r="A3" s="3" t="s">
        <v>2</v>
      </c>
      <c r="B3" s="3">
        <v>24</v>
      </c>
      <c r="C3" s="3">
        <v>1</v>
      </c>
      <c r="D3" s="3">
        <v>55995.417999999998</v>
      </c>
      <c r="E3" s="3">
        <v>1.24</v>
      </c>
      <c r="F3" s="3">
        <v>167</v>
      </c>
      <c r="H3" s="3" t="s">
        <v>2</v>
      </c>
      <c r="I3" s="3">
        <v>47</v>
      </c>
      <c r="J3" s="3">
        <v>1</v>
      </c>
      <c r="L3" s="3">
        <f t="shared" ref="L3:L10" ca="1" si="2">INDIRECT("D"&amp;1+(ROW(D2)-1)*10+COLUMN(A2)-1)</f>
        <v>126252.899</v>
      </c>
      <c r="M3" s="3">
        <f t="shared" ca="1" si="0"/>
        <v>126348.54</v>
      </c>
      <c r="N3" s="3">
        <f t="shared" ca="1" si="0"/>
        <v>126306.93799999999</v>
      </c>
      <c r="O3" s="3">
        <f t="shared" ca="1" si="0"/>
        <v>126253.132</v>
      </c>
      <c r="P3" s="3">
        <f t="shared" ca="1" si="0"/>
        <v>126290.323</v>
      </c>
      <c r="Q3" s="3">
        <f t="shared" ca="1" si="0"/>
        <v>126295.914</v>
      </c>
      <c r="R3" s="3">
        <f t="shared" ca="1" si="0"/>
        <v>126321.97900000001</v>
      </c>
      <c r="S3" s="3">
        <f t="shared" ca="1" si="0"/>
        <v>126274.27099999999</v>
      </c>
      <c r="T3" s="3">
        <f t="shared" ca="1" si="0"/>
        <v>126268.834</v>
      </c>
      <c r="U3" s="3">
        <f t="shared" ca="1" si="0"/>
        <v>126249.307</v>
      </c>
      <c r="W3" s="3">
        <f t="shared" ref="W3:W10" ca="1" si="3">AVERAGE(L3:U3)</f>
        <v>126286.21369999999</v>
      </c>
      <c r="Y3" s="3">
        <f ca="1">Total!E3</f>
        <v>126021.209</v>
      </c>
      <c r="AB3" s="3">
        <f t="shared" ca="1" si="1"/>
        <v>1.8385000575577904E-3</v>
      </c>
      <c r="AC3" s="3">
        <f t="shared" ca="1" si="1"/>
        <v>2.5974278662886899E-3</v>
      </c>
      <c r="AD3" s="3">
        <f t="shared" ca="1" si="1"/>
        <v>2.2673088305317883E-3</v>
      </c>
      <c r="AE3" s="3">
        <f t="shared" ca="1" si="1"/>
        <v>1.8403489526909334E-3</v>
      </c>
      <c r="AF3" s="3">
        <f t="shared" ca="1" si="1"/>
        <v>2.1354659436730321E-3</v>
      </c>
      <c r="AG3" s="3">
        <f t="shared" ca="1" si="1"/>
        <v>2.1798314916975738E-3</v>
      </c>
      <c r="AH3" s="3">
        <f t="shared" ca="1" si="1"/>
        <v>2.3866617562763111E-3</v>
      </c>
      <c r="AI3" s="3">
        <f t="shared" ca="1" si="1"/>
        <v>2.0080905587883291E-3</v>
      </c>
      <c r="AJ3" s="3">
        <f t="shared" ca="1" si="1"/>
        <v>1.9649470272896682E-3</v>
      </c>
      <c r="AK3" s="3">
        <f t="shared" ca="1" si="1"/>
        <v>1.8099969188519541E-3</v>
      </c>
      <c r="AM3" s="3">
        <f t="shared" ref="AM3:AM10" ca="1" si="4">SUM(AB3:AK3)</f>
        <v>2.102857940364607E-2</v>
      </c>
    </row>
    <row r="4" spans="1:39" x14ac:dyDescent="0.25">
      <c r="A4" s="3" t="s">
        <v>2</v>
      </c>
      <c r="B4" s="3">
        <v>24</v>
      </c>
      <c r="C4" s="3">
        <v>1</v>
      </c>
      <c r="D4" s="3">
        <v>55982.074000000001</v>
      </c>
      <c r="E4" s="3">
        <v>1.2390000000000001</v>
      </c>
      <c r="F4" s="3">
        <v>153</v>
      </c>
      <c r="H4" s="3" t="s">
        <v>2</v>
      </c>
      <c r="I4" s="3">
        <v>100</v>
      </c>
      <c r="J4" s="3">
        <v>1</v>
      </c>
      <c r="L4" s="3">
        <f t="shared" ca="1" si="2"/>
        <v>1216960.6240000001</v>
      </c>
      <c r="M4" s="3">
        <f t="shared" ca="1" si="0"/>
        <v>1217190.139</v>
      </c>
      <c r="N4" s="3">
        <f t="shared" ca="1" si="0"/>
        <v>1217005.3289999999</v>
      </c>
      <c r="O4" s="3">
        <f t="shared" ca="1" si="0"/>
        <v>1216911.034</v>
      </c>
      <c r="P4" s="3">
        <f t="shared" ca="1" si="0"/>
        <v>1217447.6680000001</v>
      </c>
      <c r="Q4" s="3">
        <f t="shared" ca="1" si="0"/>
        <v>1217140.463</v>
      </c>
      <c r="R4" s="3">
        <f t="shared" ca="1" si="0"/>
        <v>1217623.733</v>
      </c>
      <c r="S4" s="3">
        <f t="shared" ca="1" si="0"/>
        <v>1216888.986</v>
      </c>
      <c r="T4" s="3">
        <f t="shared" ca="1" si="0"/>
        <v>1216958.122</v>
      </c>
      <c r="U4" s="3">
        <f t="shared" ca="1" si="0"/>
        <v>1217639.855</v>
      </c>
      <c r="W4" s="3">
        <f t="shared" ca="1" si="3"/>
        <v>1217176.5952999997</v>
      </c>
      <c r="Y4" s="3">
        <f ca="1">Total!E4</f>
        <v>1216556.6340000001</v>
      </c>
      <c r="AB4" s="3">
        <f t="shared" ca="1" si="1"/>
        <v>3.3207660762301234E-4</v>
      </c>
      <c r="AC4" s="3">
        <f t="shared" ca="1" si="1"/>
        <v>5.2073613533053838E-4</v>
      </c>
      <c r="AD4" s="3">
        <f t="shared" ca="1" si="1"/>
        <v>3.6882376657183422E-4</v>
      </c>
      <c r="AE4" s="3">
        <f t="shared" ca="1" si="1"/>
        <v>2.9131401703400424E-4</v>
      </c>
      <c r="AF4" s="3">
        <f t="shared" ca="1" si="1"/>
        <v>7.3242295105513768E-4</v>
      </c>
      <c r="AG4" s="3">
        <f t="shared" ca="1" si="1"/>
        <v>4.7990285341694214E-4</v>
      </c>
      <c r="AH4" s="3">
        <f t="shared" ca="1" si="1"/>
        <v>8.7714699848484752E-4</v>
      </c>
      <c r="AI4" s="3">
        <f t="shared" ca="1" si="1"/>
        <v>2.7319073416844748E-4</v>
      </c>
      <c r="AJ4" s="3">
        <f t="shared" ca="1" si="1"/>
        <v>3.3001998327017109E-4</v>
      </c>
      <c r="AK4" s="3">
        <f t="shared" ca="1" si="1"/>
        <v>8.9039915588500504E-4</v>
      </c>
      <c r="AM4" s="3">
        <f t="shared" ca="1" si="4"/>
        <v>5.0960332028399391E-3</v>
      </c>
    </row>
    <row r="5" spans="1:39" x14ac:dyDescent="0.25">
      <c r="A5" s="3" t="s">
        <v>2</v>
      </c>
      <c r="B5" s="3">
        <v>24</v>
      </c>
      <c r="C5" s="3">
        <v>1</v>
      </c>
      <c r="D5" s="3">
        <v>55999.953000000001</v>
      </c>
      <c r="E5" s="3">
        <v>1.2370000000000001</v>
      </c>
      <c r="F5" s="3">
        <v>156</v>
      </c>
      <c r="H5" s="3" t="s">
        <v>1</v>
      </c>
      <c r="I5" s="3">
        <v>30</v>
      </c>
      <c r="J5" s="3">
        <v>1</v>
      </c>
      <c r="L5" s="3">
        <f t="shared" ca="1" si="2"/>
        <v>20034.581999999999</v>
      </c>
      <c r="M5" s="3">
        <f t="shared" ca="1" si="0"/>
        <v>20009.157999999999</v>
      </c>
      <c r="N5" s="3">
        <f t="shared" ca="1" si="0"/>
        <v>19999.468000000001</v>
      </c>
      <c r="O5" s="3">
        <f t="shared" ca="1" si="0"/>
        <v>19999.454000000002</v>
      </c>
      <c r="P5" s="3">
        <f t="shared" ca="1" si="0"/>
        <v>20043.732</v>
      </c>
      <c r="Q5" s="3">
        <f t="shared" ca="1" si="0"/>
        <v>20017.679</v>
      </c>
      <c r="R5" s="3">
        <f t="shared" ca="1" si="0"/>
        <v>20015.556</v>
      </c>
      <c r="S5" s="3">
        <f t="shared" ca="1" si="0"/>
        <v>19985.814999999999</v>
      </c>
      <c r="T5" s="3">
        <f t="shared" ca="1" si="0"/>
        <v>20094.489000000001</v>
      </c>
      <c r="U5" s="3">
        <f t="shared" ca="1" si="0"/>
        <v>19991.347000000002</v>
      </c>
      <c r="W5" s="3">
        <f t="shared" ca="1" si="3"/>
        <v>20019.128000000004</v>
      </c>
      <c r="Y5" s="3">
        <f ca="1">Total!E5</f>
        <v>19969.536</v>
      </c>
      <c r="AB5" s="3">
        <f t="shared" ca="1" si="1"/>
        <v>3.2572614606567953E-3</v>
      </c>
      <c r="AC5" s="3">
        <f t="shared" ca="1" si="1"/>
        <v>1.9841222149577929E-3</v>
      </c>
      <c r="AD5" s="3">
        <f t="shared" ca="1" si="1"/>
        <v>1.4988830987360297E-3</v>
      </c>
      <c r="AE5" s="3">
        <f t="shared" ca="1" si="1"/>
        <v>1.4981820308694947E-3</v>
      </c>
      <c r="AF5" s="3">
        <f t="shared" ca="1" si="1"/>
        <v>3.7154593877394004E-3</v>
      </c>
      <c r="AG5" s="3">
        <f t="shared" ca="1" si="1"/>
        <v>2.4108221643206946E-3</v>
      </c>
      <c r="AH5" s="3">
        <f t="shared" ca="1" si="1"/>
        <v>2.304510229982331E-3</v>
      </c>
      <c r="AI5" s="3">
        <f t="shared" ca="1" si="1"/>
        <v>8.1519169999736763E-4</v>
      </c>
      <c r="AJ5" s="3">
        <f t="shared" ca="1" si="1"/>
        <v>6.2571809380048355E-3</v>
      </c>
      <c r="AK5" s="3">
        <f t="shared" ca="1" si="1"/>
        <v>1.0922136598467541E-3</v>
      </c>
      <c r="AM5" s="3">
        <f t="shared" ca="1" si="4"/>
        <v>2.4833826885111498E-2</v>
      </c>
    </row>
    <row r="6" spans="1:39" x14ac:dyDescent="0.25">
      <c r="A6" s="3" t="s">
        <v>2</v>
      </c>
      <c r="B6" s="3">
        <v>24</v>
      </c>
      <c r="C6" s="3">
        <v>1</v>
      </c>
      <c r="D6" s="3">
        <v>55988.38</v>
      </c>
      <c r="E6" s="3">
        <v>1.238</v>
      </c>
      <c r="F6" s="3">
        <v>167</v>
      </c>
      <c r="H6" s="3" t="s">
        <v>1</v>
      </c>
      <c r="I6" s="3">
        <v>50</v>
      </c>
      <c r="J6" s="3">
        <v>1</v>
      </c>
      <c r="L6" s="3">
        <f t="shared" ca="1" si="2"/>
        <v>35448.519</v>
      </c>
      <c r="M6" s="3">
        <f t="shared" ca="1" si="0"/>
        <v>35441.148999999998</v>
      </c>
      <c r="N6" s="3">
        <f t="shared" ca="1" si="0"/>
        <v>35387.843000000001</v>
      </c>
      <c r="O6" s="3">
        <f t="shared" ca="1" si="0"/>
        <v>35394.987000000001</v>
      </c>
      <c r="P6" s="3">
        <f t="shared" ca="1" si="0"/>
        <v>35439.913</v>
      </c>
      <c r="Q6" s="3">
        <f t="shared" ca="1" si="0"/>
        <v>35436.745999999999</v>
      </c>
      <c r="R6" s="3">
        <f t="shared" ca="1" si="0"/>
        <v>35366.447</v>
      </c>
      <c r="S6" s="3">
        <f t="shared" ca="1" si="0"/>
        <v>35352.51</v>
      </c>
      <c r="T6" s="3">
        <f t="shared" ca="1" si="0"/>
        <v>35373.436999999998</v>
      </c>
      <c r="U6" s="3">
        <f t="shared" ca="1" si="0"/>
        <v>35475.415999999997</v>
      </c>
      <c r="W6" s="3">
        <f t="shared" ca="1" si="3"/>
        <v>35411.696699999993</v>
      </c>
      <c r="Y6" s="3">
        <f ca="1">Total!E6</f>
        <v>35277.981</v>
      </c>
      <c r="AB6" s="3">
        <f t="shared" ca="1" si="1"/>
        <v>4.8341201839187014E-3</v>
      </c>
      <c r="AC6" s="3">
        <f t="shared" ca="1" si="1"/>
        <v>4.6252080015576243E-3</v>
      </c>
      <c r="AD6" s="3">
        <f t="shared" ca="1" si="1"/>
        <v>3.1141804855555934E-3</v>
      </c>
      <c r="AE6" s="3">
        <f t="shared" ca="1" si="1"/>
        <v>3.3166864056081106E-3</v>
      </c>
      <c r="AF6" s="3">
        <f t="shared" ca="1" si="1"/>
        <v>4.5901719829148013E-3</v>
      </c>
      <c r="AG6" s="3">
        <f t="shared" ca="1" si="1"/>
        <v>4.5003992717156747E-3</v>
      </c>
      <c r="AH6" s="3">
        <f t="shared" ca="1" si="1"/>
        <v>2.5076831919604568E-3</v>
      </c>
      <c r="AI6" s="3">
        <f t="shared" ca="1" si="1"/>
        <v>2.1126209008390327E-3</v>
      </c>
      <c r="AJ6" s="3">
        <f t="shared" ca="1" si="1"/>
        <v>2.7058237828292472E-3</v>
      </c>
      <c r="AK6" s="3">
        <f t="shared" ca="1" si="1"/>
        <v>5.5965504375093825E-3</v>
      </c>
      <c r="AM6" s="3">
        <f t="shared" ca="1" si="4"/>
        <v>3.7903444644408625E-2</v>
      </c>
    </row>
    <row r="7" spans="1:39" x14ac:dyDescent="0.25">
      <c r="A7" s="3" t="s">
        <v>2</v>
      </c>
      <c r="B7" s="3">
        <v>24</v>
      </c>
      <c r="C7" s="3">
        <v>1</v>
      </c>
      <c r="D7" s="3">
        <v>56000.482000000004</v>
      </c>
      <c r="E7" s="3">
        <v>1.24</v>
      </c>
      <c r="F7" s="3">
        <v>161</v>
      </c>
      <c r="H7" s="3" t="s">
        <v>1</v>
      </c>
      <c r="I7" s="3">
        <v>100</v>
      </c>
      <c r="J7" s="3">
        <v>1</v>
      </c>
      <c r="L7" s="3">
        <f t="shared" ca="1" si="2"/>
        <v>63281.313000000002</v>
      </c>
      <c r="M7" s="3">
        <f t="shared" ca="1" si="0"/>
        <v>63090.559000000001</v>
      </c>
      <c r="N7" s="3">
        <f t="shared" ca="1" si="0"/>
        <v>63209.326000000001</v>
      </c>
      <c r="O7" s="3">
        <f t="shared" ca="1" si="0"/>
        <v>63101.24</v>
      </c>
      <c r="P7" s="3">
        <f t="shared" ca="1" si="0"/>
        <v>63240.131000000001</v>
      </c>
      <c r="Q7" s="3">
        <f t="shared" ca="1" si="0"/>
        <v>63108.58</v>
      </c>
      <c r="R7" s="3">
        <f t="shared" ca="1" si="0"/>
        <v>63265.445</v>
      </c>
      <c r="S7" s="3">
        <f t="shared" ca="1" si="0"/>
        <v>63124.345999999998</v>
      </c>
      <c r="T7" s="3">
        <f t="shared" ca="1" si="0"/>
        <v>63145.593000000001</v>
      </c>
      <c r="U7" s="3">
        <f t="shared" ca="1" si="0"/>
        <v>63276.995000000003</v>
      </c>
      <c r="W7" s="3">
        <f t="shared" ca="1" si="3"/>
        <v>63184.352800000008</v>
      </c>
      <c r="Y7" s="3">
        <f ca="1">Total!E7</f>
        <v>63035.512000000002</v>
      </c>
      <c r="AB7" s="3">
        <f t="shared" ca="1" si="1"/>
        <v>3.8994051480060869E-3</v>
      </c>
      <c r="AC7" s="3">
        <f t="shared" ca="1" si="1"/>
        <v>8.732696579032889E-4</v>
      </c>
      <c r="AD7" s="3">
        <f t="shared" ca="1" si="1"/>
        <v>2.757398083797566E-3</v>
      </c>
      <c r="AE7" s="3">
        <f t="shared" ca="1" si="1"/>
        <v>1.0427138277229432E-3</v>
      </c>
      <c r="AF7" s="3">
        <f t="shared" ca="1" si="1"/>
        <v>3.246090870174875E-3</v>
      </c>
      <c r="AG7" s="3">
        <f t="shared" ca="1" si="1"/>
        <v>1.1591561277395398E-3</v>
      </c>
      <c r="AH7" s="3">
        <f t="shared" ca="1" si="1"/>
        <v>3.6476740285697569E-3</v>
      </c>
      <c r="AI7" s="3">
        <f t="shared" ca="1" si="1"/>
        <v>1.4092691116714541E-3</v>
      </c>
      <c r="AJ7" s="3">
        <f t="shared" ca="1" si="1"/>
        <v>1.7463330828501608E-3</v>
      </c>
      <c r="AK7" s="3">
        <f t="shared" ca="1" si="1"/>
        <v>3.8309040783233452E-3</v>
      </c>
      <c r="AM7" s="3">
        <f t="shared" ca="1" si="4"/>
        <v>2.3612214016759014E-2</v>
      </c>
    </row>
    <row r="8" spans="1:39" x14ac:dyDescent="0.25">
      <c r="A8" s="3" t="s">
        <v>2</v>
      </c>
      <c r="B8" s="3">
        <v>24</v>
      </c>
      <c r="C8" s="3">
        <v>1</v>
      </c>
      <c r="D8" s="3">
        <v>56010.082999999999</v>
      </c>
      <c r="E8" s="3">
        <v>1.238</v>
      </c>
      <c r="F8" s="3">
        <v>165</v>
      </c>
      <c r="H8" s="3" t="s">
        <v>0</v>
      </c>
      <c r="I8" s="3">
        <v>25</v>
      </c>
      <c r="J8" s="3">
        <v>1</v>
      </c>
      <c r="L8" s="3">
        <f t="shared" ca="1" si="2"/>
        <v>723.80700000000002</v>
      </c>
      <c r="M8" s="3">
        <f t="shared" ca="1" si="0"/>
        <v>723.59400000000005</v>
      </c>
      <c r="N8" s="3">
        <f t="shared" ca="1" si="0"/>
        <v>723.59699999999998</v>
      </c>
      <c r="O8" s="3">
        <f t="shared" ca="1" si="0"/>
        <v>723.14</v>
      </c>
      <c r="P8" s="3">
        <f t="shared" ca="1" si="0"/>
        <v>723.87300000000005</v>
      </c>
      <c r="Q8" s="3">
        <f t="shared" ca="1" si="0"/>
        <v>723.67</v>
      </c>
      <c r="R8" s="3">
        <f t="shared" ca="1" si="0"/>
        <v>723.74599999999998</v>
      </c>
      <c r="S8" s="3">
        <f t="shared" ca="1" si="0"/>
        <v>723.58500000000004</v>
      </c>
      <c r="T8" s="3">
        <f t="shared" ca="1" si="0"/>
        <v>723.83100000000002</v>
      </c>
      <c r="U8" s="3">
        <f t="shared" ca="1" si="0"/>
        <v>723.49599999999998</v>
      </c>
      <c r="W8" s="3">
        <f t="shared" ca="1" si="3"/>
        <v>723.63390000000004</v>
      </c>
      <c r="Y8" s="3">
        <f ca="1">Total!E8</f>
        <v>722.92</v>
      </c>
      <c r="AB8" s="3">
        <f t="shared" ca="1" si="1"/>
        <v>1.2269684059094468E-3</v>
      </c>
      <c r="AC8" s="3">
        <f t="shared" ca="1" si="1"/>
        <v>9.3232999502032294E-4</v>
      </c>
      <c r="AD8" s="3">
        <f t="shared" ca="1" si="1"/>
        <v>9.3647983179331179E-4</v>
      </c>
      <c r="AE8" s="3">
        <f t="shared" ca="1" si="1"/>
        <v>3.0432136335974559E-4</v>
      </c>
      <c r="AF8" s="3">
        <f t="shared" ca="1" si="1"/>
        <v>1.318264814917402E-3</v>
      </c>
      <c r="AG8" s="3">
        <f t="shared" ca="1" si="1"/>
        <v>1.0374591932717314E-3</v>
      </c>
      <c r="AH8" s="3">
        <f t="shared" ca="1" si="1"/>
        <v>1.142588391523297E-3</v>
      </c>
      <c r="AI8" s="3">
        <f t="shared" ca="1" si="1"/>
        <v>9.1988048470104209E-4</v>
      </c>
      <c r="AJ8" s="3">
        <f t="shared" ca="1" si="1"/>
        <v>1.2601671000941434E-3</v>
      </c>
      <c r="AK8" s="3">
        <f t="shared" ca="1" si="1"/>
        <v>7.967686604327199E-4</v>
      </c>
      <c r="AM8" s="3">
        <f t="shared" ca="1" si="4"/>
        <v>9.8752282410231648E-3</v>
      </c>
    </row>
    <row r="9" spans="1:39" x14ac:dyDescent="0.25">
      <c r="A9" s="3" t="s">
        <v>2</v>
      </c>
      <c r="B9" s="3">
        <v>24</v>
      </c>
      <c r="C9" s="3">
        <v>1</v>
      </c>
      <c r="D9" s="3">
        <v>55967.851000000002</v>
      </c>
      <c r="E9" s="3">
        <v>1.2370000000000001</v>
      </c>
      <c r="F9" s="3">
        <v>164</v>
      </c>
      <c r="H9" s="3" t="s">
        <v>0</v>
      </c>
      <c r="I9" s="3">
        <v>50</v>
      </c>
      <c r="J9" s="3">
        <v>1</v>
      </c>
      <c r="L9" s="3">
        <f t="shared" ca="1" si="2"/>
        <v>1573.116</v>
      </c>
      <c r="M9" s="3">
        <f t="shared" ca="1" si="0"/>
        <v>1573.633</v>
      </c>
      <c r="N9" s="3">
        <f t="shared" ca="1" si="0"/>
        <v>1572.077</v>
      </c>
      <c r="O9" s="3">
        <f t="shared" ca="1" si="0"/>
        <v>1573.2180000000001</v>
      </c>
      <c r="P9" s="3">
        <f t="shared" ca="1" si="0"/>
        <v>1573.23</v>
      </c>
      <c r="Q9" s="3">
        <f t="shared" ca="1" si="0"/>
        <v>1571.7380000000001</v>
      </c>
      <c r="R9" s="3">
        <f t="shared" ca="1" si="0"/>
        <v>1571.671</v>
      </c>
      <c r="S9" s="3">
        <f t="shared" ca="1" si="0"/>
        <v>1571.74</v>
      </c>
      <c r="T9" s="3">
        <f t="shared" ca="1" si="0"/>
        <v>1572.5409999999999</v>
      </c>
      <c r="U9" s="3">
        <f t="shared" ca="1" si="0"/>
        <v>1574.056</v>
      </c>
      <c r="W9" s="3">
        <f t="shared" ca="1" si="3"/>
        <v>1572.7019999999998</v>
      </c>
      <c r="Y9" s="3">
        <f ca="1">Total!E9</f>
        <v>1570.17</v>
      </c>
      <c r="AB9" s="3">
        <f t="shared" ca="1" si="1"/>
        <v>1.8762299623607077E-3</v>
      </c>
      <c r="AC9" s="3">
        <f t="shared" ca="1" si="1"/>
        <v>2.2054936726596261E-3</v>
      </c>
      <c r="AD9" s="3">
        <f t="shared" ca="1" si="1"/>
        <v>1.2145181731913904E-3</v>
      </c>
      <c r="AE9" s="3">
        <f t="shared" ca="1" si="1"/>
        <v>1.9411910812205059E-3</v>
      </c>
      <c r="AF9" s="3">
        <f t="shared" ca="1" si="1"/>
        <v>1.9488335657922042E-3</v>
      </c>
      <c r="AG9" s="3">
        <f t="shared" ca="1" si="1"/>
        <v>9.9861798403993421E-4</v>
      </c>
      <c r="AH9" s="3">
        <f t="shared" ca="1" si="1"/>
        <v>9.5594744518107989E-4</v>
      </c>
      <c r="AI9" s="3">
        <f t="shared" ca="1" si="1"/>
        <v>9.9989173146852652E-4</v>
      </c>
      <c r="AJ9" s="3">
        <f t="shared" ca="1" si="1"/>
        <v>1.5100275766317451E-3</v>
      </c>
      <c r="AK9" s="3">
        <f t="shared" ca="1" si="1"/>
        <v>2.4748912538132602E-3</v>
      </c>
      <c r="AM9" s="3">
        <f t="shared" ca="1" si="4"/>
        <v>1.612564244635898E-2</v>
      </c>
    </row>
    <row r="10" spans="1:39" x14ac:dyDescent="0.25">
      <c r="A10" s="3" t="s">
        <v>2</v>
      </c>
      <c r="B10" s="3">
        <v>24</v>
      </c>
      <c r="C10" s="3">
        <v>1</v>
      </c>
      <c r="D10" s="3">
        <v>55989.777000000002</v>
      </c>
      <c r="E10" s="3">
        <v>1.236</v>
      </c>
      <c r="F10" s="3">
        <v>156</v>
      </c>
      <c r="H10" s="3" t="s">
        <v>28</v>
      </c>
      <c r="I10" s="3">
        <v>100</v>
      </c>
      <c r="J10" s="3">
        <v>1</v>
      </c>
      <c r="L10" s="3">
        <f t="shared" ca="1" si="2"/>
        <v>3300.17</v>
      </c>
      <c r="M10" s="3">
        <f t="shared" ca="1" si="0"/>
        <v>3301.7469999999998</v>
      </c>
      <c r="N10" s="3">
        <f t="shared" ca="1" si="0"/>
        <v>3302.7860000000001</v>
      </c>
      <c r="O10" s="3">
        <f t="shared" ca="1" si="0"/>
        <v>3301.7849999999999</v>
      </c>
      <c r="P10" s="3">
        <f t="shared" ca="1" si="0"/>
        <v>3298.1039999999998</v>
      </c>
      <c r="Q10" s="3">
        <f t="shared" ca="1" si="0"/>
        <v>3293.424</v>
      </c>
      <c r="R10" s="3">
        <f t="shared" ca="1" si="0"/>
        <v>3303.23</v>
      </c>
      <c r="S10" s="3">
        <f t="shared" ca="1" si="0"/>
        <v>3294.13</v>
      </c>
      <c r="T10" s="3">
        <f t="shared" ca="1" si="0"/>
        <v>3300.63</v>
      </c>
      <c r="U10" s="3">
        <f t="shared" ca="1" si="0"/>
        <v>3292.058</v>
      </c>
      <c r="W10" s="3">
        <f t="shared" ca="1" si="3"/>
        <v>3298.8063999999999</v>
      </c>
      <c r="Y10" s="3">
        <f ca="1">Total!E10</f>
        <v>3290.5340000000001</v>
      </c>
      <c r="AB10" s="3">
        <f t="shared" ca="1" si="1"/>
        <v>2.9284000712346283E-3</v>
      </c>
      <c r="AC10" s="3">
        <f t="shared" ca="1" si="1"/>
        <v>3.4076535905721494E-3</v>
      </c>
      <c r="AD10" s="3">
        <f t="shared" ca="1" si="1"/>
        <v>3.7234078116196194E-3</v>
      </c>
      <c r="AE10" s="3">
        <f t="shared" ca="1" si="1"/>
        <v>3.4192018681465527E-3</v>
      </c>
      <c r="AF10" s="3">
        <f t="shared" ca="1" si="1"/>
        <v>2.3005384536369201E-3</v>
      </c>
      <c r="AG10" s="3">
        <f t="shared" ca="1" si="1"/>
        <v>8.7827689973720758E-4</v>
      </c>
      <c r="AH10" s="3">
        <f t="shared" ca="1" si="1"/>
        <v>3.8583403180152257E-3</v>
      </c>
      <c r="AI10" s="3">
        <f t="shared" ca="1" si="1"/>
        <v>1.0928317409879379E-3</v>
      </c>
      <c r="AJ10" s="3">
        <f t="shared" ca="1" si="1"/>
        <v>3.0681950102931631E-3</v>
      </c>
      <c r="AK10" s="3">
        <f t="shared" ca="1" si="1"/>
        <v>4.6314671114168314E-4</v>
      </c>
      <c r="AM10" s="3">
        <f t="shared" ca="1" si="4"/>
        <v>2.5139992475385092E-2</v>
      </c>
    </row>
    <row r="11" spans="1:39" x14ac:dyDescent="0.25">
      <c r="A11" s="3" t="s">
        <v>2</v>
      </c>
      <c r="B11" s="3">
        <v>47</v>
      </c>
      <c r="C11" s="3">
        <v>1</v>
      </c>
      <c r="D11" s="3">
        <v>126252.899</v>
      </c>
      <c r="E11" s="3">
        <v>4.1539999999999999</v>
      </c>
      <c r="F11" s="3">
        <v>148</v>
      </c>
    </row>
    <row r="12" spans="1:39" x14ac:dyDescent="0.25">
      <c r="A12" s="3" t="s">
        <v>2</v>
      </c>
      <c r="B12" s="3">
        <v>47</v>
      </c>
      <c r="C12" s="3">
        <v>1</v>
      </c>
      <c r="D12" s="3">
        <v>126348.54</v>
      </c>
      <c r="E12" s="3">
        <v>4.1399999999999997</v>
      </c>
      <c r="F12" s="3">
        <v>145</v>
      </c>
    </row>
    <row r="13" spans="1:39" x14ac:dyDescent="0.25">
      <c r="A13" s="3" t="s">
        <v>2</v>
      </c>
      <c r="B13" s="3">
        <v>47</v>
      </c>
      <c r="C13" s="3">
        <v>1</v>
      </c>
      <c r="D13" s="3">
        <v>126306.93799999999</v>
      </c>
      <c r="E13" s="3">
        <v>4.1429999999999998</v>
      </c>
      <c r="F13" s="3">
        <v>141</v>
      </c>
    </row>
    <row r="14" spans="1:39" x14ac:dyDescent="0.25">
      <c r="A14" s="3" t="s">
        <v>2</v>
      </c>
      <c r="B14" s="3">
        <v>47</v>
      </c>
      <c r="C14" s="3">
        <v>1</v>
      </c>
      <c r="D14" s="3">
        <v>126253.132</v>
      </c>
      <c r="E14" s="3">
        <v>4.1520000000000001</v>
      </c>
      <c r="F14" s="3">
        <v>147</v>
      </c>
    </row>
    <row r="15" spans="1:39" x14ac:dyDescent="0.25">
      <c r="A15" s="3" t="s">
        <v>2</v>
      </c>
      <c r="B15" s="3">
        <v>47</v>
      </c>
      <c r="C15" s="3">
        <v>1</v>
      </c>
      <c r="D15" s="3">
        <v>126290.323</v>
      </c>
      <c r="E15" s="3">
        <v>4.1429999999999998</v>
      </c>
      <c r="F15" s="3">
        <v>146</v>
      </c>
    </row>
    <row r="16" spans="1:39" x14ac:dyDescent="0.25">
      <c r="A16" s="3" t="s">
        <v>2</v>
      </c>
      <c r="B16" s="3">
        <v>47</v>
      </c>
      <c r="C16" s="3">
        <v>1</v>
      </c>
      <c r="D16" s="3">
        <v>126295.914</v>
      </c>
      <c r="E16" s="3">
        <v>4.1520000000000001</v>
      </c>
      <c r="F16" s="3">
        <v>152</v>
      </c>
    </row>
    <row r="17" spans="1:6" x14ac:dyDescent="0.25">
      <c r="A17" s="3" t="s">
        <v>2</v>
      </c>
      <c r="B17" s="3">
        <v>47</v>
      </c>
      <c r="C17" s="3">
        <v>1</v>
      </c>
      <c r="D17" s="3">
        <v>126321.97900000001</v>
      </c>
      <c r="E17" s="3">
        <v>4.1529999999999996</v>
      </c>
      <c r="F17" s="3">
        <v>147</v>
      </c>
    </row>
    <row r="18" spans="1:6" x14ac:dyDescent="0.25">
      <c r="A18" s="3" t="s">
        <v>2</v>
      </c>
      <c r="B18" s="3">
        <v>47</v>
      </c>
      <c r="C18" s="3">
        <v>1</v>
      </c>
      <c r="D18" s="3">
        <v>126274.27099999999</v>
      </c>
      <c r="E18" s="3">
        <v>4.1529999999999996</v>
      </c>
      <c r="F18" s="3">
        <v>143</v>
      </c>
    </row>
    <row r="19" spans="1:6" x14ac:dyDescent="0.25">
      <c r="A19" s="3" t="s">
        <v>2</v>
      </c>
      <c r="B19" s="3">
        <v>47</v>
      </c>
      <c r="C19" s="3">
        <v>1</v>
      </c>
      <c r="D19" s="3">
        <v>126268.834</v>
      </c>
      <c r="E19" s="3">
        <v>4.1479999999999997</v>
      </c>
      <c r="F19" s="3">
        <v>150</v>
      </c>
    </row>
    <row r="20" spans="1:6" x14ac:dyDescent="0.25">
      <c r="A20" s="3" t="s">
        <v>2</v>
      </c>
      <c r="B20" s="3">
        <v>47</v>
      </c>
      <c r="C20" s="3">
        <v>1</v>
      </c>
      <c r="D20" s="3">
        <v>126249.307</v>
      </c>
      <c r="E20" s="3">
        <v>4.16</v>
      </c>
      <c r="F20" s="3">
        <v>144</v>
      </c>
    </row>
    <row r="21" spans="1:6" x14ac:dyDescent="0.25">
      <c r="A21" s="3" t="s">
        <v>2</v>
      </c>
      <c r="B21" s="3">
        <v>100</v>
      </c>
      <c r="C21" s="3">
        <v>1</v>
      </c>
      <c r="D21" s="3">
        <v>1216960.6240000001</v>
      </c>
      <c r="E21" s="3">
        <v>22.19</v>
      </c>
      <c r="F21" s="3">
        <v>159</v>
      </c>
    </row>
    <row r="22" spans="1:6" x14ac:dyDescent="0.25">
      <c r="A22" s="3" t="s">
        <v>2</v>
      </c>
      <c r="B22" s="3">
        <v>100</v>
      </c>
      <c r="C22" s="3">
        <v>1</v>
      </c>
      <c r="D22" s="3">
        <v>1217190.139</v>
      </c>
      <c r="E22" s="3">
        <v>22.157</v>
      </c>
      <c r="F22" s="3">
        <v>156</v>
      </c>
    </row>
    <row r="23" spans="1:6" x14ac:dyDescent="0.25">
      <c r="A23" s="3" t="s">
        <v>2</v>
      </c>
      <c r="B23" s="3">
        <v>100</v>
      </c>
      <c r="C23" s="3">
        <v>1</v>
      </c>
      <c r="D23" s="3">
        <v>1217005.3289999999</v>
      </c>
      <c r="E23" s="3">
        <v>22.152999999999999</v>
      </c>
      <c r="F23" s="3">
        <v>157</v>
      </c>
    </row>
    <row r="24" spans="1:6" x14ac:dyDescent="0.25">
      <c r="A24" s="3" t="s">
        <v>2</v>
      </c>
      <c r="B24" s="3">
        <v>100</v>
      </c>
      <c r="C24" s="3">
        <v>1</v>
      </c>
      <c r="D24" s="3">
        <v>1216911.034</v>
      </c>
      <c r="E24" s="3">
        <v>22.07</v>
      </c>
      <c r="F24" s="3">
        <v>156</v>
      </c>
    </row>
    <row r="25" spans="1:6" x14ac:dyDescent="0.25">
      <c r="A25" s="3" t="s">
        <v>2</v>
      </c>
      <c r="B25" s="3">
        <v>100</v>
      </c>
      <c r="C25" s="3">
        <v>1</v>
      </c>
      <c r="D25" s="3">
        <v>1217447.6680000001</v>
      </c>
      <c r="E25" s="3">
        <v>22.103999999999999</v>
      </c>
      <c r="F25" s="3">
        <v>157</v>
      </c>
    </row>
    <row r="26" spans="1:6" x14ac:dyDescent="0.25">
      <c r="A26" s="3" t="s">
        <v>2</v>
      </c>
      <c r="B26" s="3">
        <v>100</v>
      </c>
      <c r="C26" s="3">
        <v>1</v>
      </c>
      <c r="D26" s="3">
        <v>1217140.463</v>
      </c>
      <c r="E26" s="3">
        <v>22.082999999999998</v>
      </c>
      <c r="F26" s="3">
        <v>159</v>
      </c>
    </row>
    <row r="27" spans="1:6" x14ac:dyDescent="0.25">
      <c r="A27" s="3" t="s">
        <v>2</v>
      </c>
      <c r="B27" s="3">
        <v>100</v>
      </c>
      <c r="C27" s="3">
        <v>1</v>
      </c>
      <c r="D27" s="3">
        <v>1217623.733</v>
      </c>
      <c r="E27" s="3">
        <v>22.143999999999998</v>
      </c>
      <c r="F27" s="3">
        <v>158</v>
      </c>
    </row>
    <row r="28" spans="1:6" x14ac:dyDescent="0.25">
      <c r="A28" s="3" t="s">
        <v>2</v>
      </c>
      <c r="B28" s="3">
        <v>100</v>
      </c>
      <c r="C28" s="3">
        <v>1</v>
      </c>
      <c r="D28" s="3">
        <v>1216888.986</v>
      </c>
      <c r="E28" s="3">
        <v>22.155000000000001</v>
      </c>
      <c r="F28" s="3">
        <v>158</v>
      </c>
    </row>
    <row r="29" spans="1:6" x14ac:dyDescent="0.25">
      <c r="A29" s="3" t="s">
        <v>2</v>
      </c>
      <c r="B29" s="3">
        <v>100</v>
      </c>
      <c r="C29" s="3">
        <v>1</v>
      </c>
      <c r="D29" s="3">
        <v>1216958.122</v>
      </c>
      <c r="E29" s="3">
        <v>22.077000000000002</v>
      </c>
      <c r="F29" s="3">
        <v>157</v>
      </c>
    </row>
    <row r="30" spans="1:6" x14ac:dyDescent="0.25">
      <c r="A30" s="3" t="s">
        <v>2</v>
      </c>
      <c r="B30" s="3">
        <v>100</v>
      </c>
      <c r="C30" s="3">
        <v>1</v>
      </c>
      <c r="D30" s="3">
        <v>1217639.855</v>
      </c>
      <c r="E30" s="3">
        <v>22.13</v>
      </c>
      <c r="F30" s="3">
        <v>157</v>
      </c>
    </row>
    <row r="31" spans="1:6" x14ac:dyDescent="0.25">
      <c r="A31" s="3" t="s">
        <v>1</v>
      </c>
      <c r="B31" s="3">
        <v>30</v>
      </c>
      <c r="C31" s="3">
        <v>1</v>
      </c>
      <c r="D31" s="3">
        <v>20034.581999999999</v>
      </c>
      <c r="E31" s="3">
        <v>1.353</v>
      </c>
      <c r="F31" s="3">
        <v>115</v>
      </c>
    </row>
    <row r="32" spans="1:6" x14ac:dyDescent="0.25">
      <c r="A32" s="3" t="s">
        <v>1</v>
      </c>
      <c r="B32" s="3">
        <v>30</v>
      </c>
      <c r="C32" s="3">
        <v>1</v>
      </c>
      <c r="D32" s="3">
        <v>20009.157999999999</v>
      </c>
      <c r="E32" s="3">
        <v>1.3540000000000001</v>
      </c>
      <c r="F32" s="3">
        <v>109</v>
      </c>
    </row>
    <row r="33" spans="1:6" x14ac:dyDescent="0.25">
      <c r="A33" s="3" t="s">
        <v>1</v>
      </c>
      <c r="B33" s="3">
        <v>30</v>
      </c>
      <c r="C33" s="3">
        <v>1</v>
      </c>
      <c r="D33" s="3">
        <v>19999.468000000001</v>
      </c>
      <c r="E33" s="3">
        <v>1.3480000000000001</v>
      </c>
      <c r="F33" s="3">
        <v>112</v>
      </c>
    </row>
    <row r="34" spans="1:6" x14ac:dyDescent="0.25">
      <c r="A34" s="3" t="s">
        <v>1</v>
      </c>
      <c r="B34" s="3">
        <v>30</v>
      </c>
      <c r="C34" s="3">
        <v>1</v>
      </c>
      <c r="D34" s="3">
        <v>19999.454000000002</v>
      </c>
      <c r="E34" s="3">
        <v>1.3520000000000001</v>
      </c>
      <c r="F34" s="3">
        <v>112</v>
      </c>
    </row>
    <row r="35" spans="1:6" x14ac:dyDescent="0.25">
      <c r="A35" s="3" t="s">
        <v>1</v>
      </c>
      <c r="B35" s="3">
        <v>30</v>
      </c>
      <c r="C35" s="3">
        <v>1</v>
      </c>
      <c r="D35" s="3">
        <v>20043.732</v>
      </c>
      <c r="E35" s="3">
        <v>1.347</v>
      </c>
      <c r="F35" s="3">
        <v>108</v>
      </c>
    </row>
    <row r="36" spans="1:6" x14ac:dyDescent="0.25">
      <c r="A36" s="3" t="s">
        <v>1</v>
      </c>
      <c r="B36" s="3">
        <v>30</v>
      </c>
      <c r="C36" s="3">
        <v>1</v>
      </c>
      <c r="D36" s="3">
        <v>20017.679</v>
      </c>
      <c r="E36" s="3">
        <v>1.355</v>
      </c>
      <c r="F36" s="3">
        <v>106</v>
      </c>
    </row>
    <row r="37" spans="1:6" x14ac:dyDescent="0.25">
      <c r="A37" s="3" t="s">
        <v>1</v>
      </c>
      <c r="B37" s="3">
        <v>30</v>
      </c>
      <c r="C37" s="3">
        <v>1</v>
      </c>
      <c r="D37" s="3">
        <v>20015.556</v>
      </c>
      <c r="E37" s="3">
        <v>1.353</v>
      </c>
      <c r="F37" s="3">
        <v>116</v>
      </c>
    </row>
    <row r="38" spans="1:6" x14ac:dyDescent="0.25">
      <c r="A38" s="3" t="s">
        <v>1</v>
      </c>
      <c r="B38" s="3">
        <v>30</v>
      </c>
      <c r="C38" s="3">
        <v>1</v>
      </c>
      <c r="D38" s="3">
        <v>19985.814999999999</v>
      </c>
      <c r="E38" s="3">
        <v>1.353</v>
      </c>
      <c r="F38" s="3">
        <v>111</v>
      </c>
    </row>
    <row r="39" spans="1:6" x14ac:dyDescent="0.25">
      <c r="A39" s="3" t="s">
        <v>1</v>
      </c>
      <c r="B39" s="3">
        <v>30</v>
      </c>
      <c r="C39" s="3">
        <v>1</v>
      </c>
      <c r="D39" s="3">
        <v>20094.489000000001</v>
      </c>
      <c r="E39" s="3">
        <v>1.355</v>
      </c>
      <c r="F39" s="3">
        <v>106</v>
      </c>
    </row>
    <row r="40" spans="1:6" x14ac:dyDescent="0.25">
      <c r="A40" s="3" t="s">
        <v>1</v>
      </c>
      <c r="B40" s="3">
        <v>30</v>
      </c>
      <c r="C40" s="3">
        <v>1</v>
      </c>
      <c r="D40" s="3">
        <v>19991.347000000002</v>
      </c>
      <c r="E40" s="3">
        <v>1.3560000000000001</v>
      </c>
      <c r="F40" s="3">
        <v>111</v>
      </c>
    </row>
    <row r="41" spans="1:6" x14ac:dyDescent="0.25">
      <c r="A41" s="3" t="s">
        <v>1</v>
      </c>
      <c r="B41" s="3">
        <v>50</v>
      </c>
      <c r="C41" s="3">
        <v>1</v>
      </c>
      <c r="D41" s="3">
        <v>35448.519</v>
      </c>
      <c r="E41" s="3">
        <v>3.0419999999999998</v>
      </c>
      <c r="F41" s="3">
        <v>90</v>
      </c>
    </row>
    <row r="42" spans="1:6" x14ac:dyDescent="0.25">
      <c r="A42" s="3" t="s">
        <v>1</v>
      </c>
      <c r="B42" s="3">
        <v>50</v>
      </c>
      <c r="C42" s="3">
        <v>1</v>
      </c>
      <c r="D42" s="3">
        <v>35441.148999999998</v>
      </c>
      <c r="E42" s="3">
        <v>3.0630000000000002</v>
      </c>
      <c r="F42" s="3">
        <v>92</v>
      </c>
    </row>
    <row r="43" spans="1:6" x14ac:dyDescent="0.25">
      <c r="A43" s="3" t="s">
        <v>1</v>
      </c>
      <c r="B43" s="3">
        <v>50</v>
      </c>
      <c r="C43" s="3">
        <v>1</v>
      </c>
      <c r="D43" s="3">
        <v>35387.843000000001</v>
      </c>
      <c r="E43" s="3">
        <v>3.0350000000000001</v>
      </c>
      <c r="F43" s="3">
        <v>91</v>
      </c>
    </row>
    <row r="44" spans="1:6" x14ac:dyDescent="0.25">
      <c r="A44" s="3" t="s">
        <v>1</v>
      </c>
      <c r="B44" s="3">
        <v>50</v>
      </c>
      <c r="C44" s="3">
        <v>1</v>
      </c>
      <c r="D44" s="3">
        <v>35394.987000000001</v>
      </c>
      <c r="E44" s="3">
        <v>3.0379999999999998</v>
      </c>
      <c r="F44" s="3">
        <v>91</v>
      </c>
    </row>
    <row r="45" spans="1:6" x14ac:dyDescent="0.25">
      <c r="A45" s="3" t="s">
        <v>1</v>
      </c>
      <c r="B45" s="3">
        <v>50</v>
      </c>
      <c r="C45" s="3">
        <v>1</v>
      </c>
      <c r="D45" s="3">
        <v>35439.913</v>
      </c>
      <c r="E45" s="3">
        <v>3.0339999999999998</v>
      </c>
      <c r="F45" s="3">
        <v>90</v>
      </c>
    </row>
    <row r="46" spans="1:6" x14ac:dyDescent="0.25">
      <c r="A46" s="3" t="s">
        <v>1</v>
      </c>
      <c r="B46" s="3">
        <v>50</v>
      </c>
      <c r="C46" s="3">
        <v>1</v>
      </c>
      <c r="D46" s="3">
        <v>35436.745999999999</v>
      </c>
      <c r="E46" s="3">
        <v>3.036</v>
      </c>
      <c r="F46" s="3">
        <v>92</v>
      </c>
    </row>
    <row r="47" spans="1:6" x14ac:dyDescent="0.25">
      <c r="A47" s="3" t="s">
        <v>1</v>
      </c>
      <c r="B47" s="3">
        <v>50</v>
      </c>
      <c r="C47" s="3">
        <v>1</v>
      </c>
      <c r="D47" s="3">
        <v>35366.447</v>
      </c>
      <c r="E47" s="3">
        <v>3.07</v>
      </c>
      <c r="F47" s="3">
        <v>92</v>
      </c>
    </row>
    <row r="48" spans="1:6" x14ac:dyDescent="0.25">
      <c r="A48" s="3" t="s">
        <v>1</v>
      </c>
      <c r="B48" s="3">
        <v>50</v>
      </c>
      <c r="C48" s="3">
        <v>1</v>
      </c>
      <c r="D48" s="3">
        <v>35352.51</v>
      </c>
      <c r="E48" s="3">
        <v>3.048</v>
      </c>
      <c r="F48" s="3">
        <v>91</v>
      </c>
    </row>
    <row r="49" spans="1:6" x14ac:dyDescent="0.25">
      <c r="A49" s="3" t="s">
        <v>1</v>
      </c>
      <c r="B49" s="3">
        <v>50</v>
      </c>
      <c r="C49" s="3">
        <v>1</v>
      </c>
      <c r="D49" s="3">
        <v>35373.436999999998</v>
      </c>
      <c r="E49" s="3">
        <v>3.0510000000000002</v>
      </c>
      <c r="F49" s="3">
        <v>90</v>
      </c>
    </row>
    <row r="50" spans="1:6" x14ac:dyDescent="0.25">
      <c r="A50" s="3" t="s">
        <v>1</v>
      </c>
      <c r="B50" s="3">
        <v>50</v>
      </c>
      <c r="C50" s="3">
        <v>1</v>
      </c>
      <c r="D50" s="3">
        <v>35475.415999999997</v>
      </c>
      <c r="E50" s="3">
        <v>3.0339999999999998</v>
      </c>
      <c r="F50" s="3">
        <v>91</v>
      </c>
    </row>
    <row r="51" spans="1:6" x14ac:dyDescent="0.25">
      <c r="A51" s="3" t="s">
        <v>1</v>
      </c>
      <c r="B51" s="3">
        <v>100</v>
      </c>
      <c r="C51" s="3">
        <v>1</v>
      </c>
      <c r="D51" s="3">
        <v>63281.313000000002</v>
      </c>
      <c r="E51" s="3">
        <v>11.741</v>
      </c>
      <c r="F51" s="3">
        <v>86</v>
      </c>
    </row>
    <row r="52" spans="1:6" x14ac:dyDescent="0.25">
      <c r="A52" s="3" t="s">
        <v>1</v>
      </c>
      <c r="B52" s="3">
        <v>100</v>
      </c>
      <c r="C52" s="3">
        <v>1</v>
      </c>
      <c r="D52" s="3">
        <v>63090.559000000001</v>
      </c>
      <c r="E52" s="3">
        <v>11.74</v>
      </c>
      <c r="F52" s="3">
        <v>86</v>
      </c>
    </row>
    <row r="53" spans="1:6" x14ac:dyDescent="0.25">
      <c r="A53" s="3" t="s">
        <v>1</v>
      </c>
      <c r="B53" s="3">
        <v>100</v>
      </c>
      <c r="C53" s="3">
        <v>1</v>
      </c>
      <c r="D53" s="3">
        <v>63209.326000000001</v>
      </c>
      <c r="E53" s="3">
        <v>11.721</v>
      </c>
      <c r="F53" s="3">
        <v>84</v>
      </c>
    </row>
    <row r="54" spans="1:6" x14ac:dyDescent="0.25">
      <c r="A54" s="3" t="s">
        <v>1</v>
      </c>
      <c r="B54" s="3">
        <v>100</v>
      </c>
      <c r="C54" s="3">
        <v>1</v>
      </c>
      <c r="D54" s="3">
        <v>63101.24</v>
      </c>
      <c r="E54" s="3">
        <v>11.768000000000001</v>
      </c>
      <c r="F54" s="3">
        <v>85</v>
      </c>
    </row>
    <row r="55" spans="1:6" x14ac:dyDescent="0.25">
      <c r="A55" s="3" t="s">
        <v>1</v>
      </c>
      <c r="B55" s="3">
        <v>100</v>
      </c>
      <c r="C55" s="3">
        <v>1</v>
      </c>
      <c r="D55" s="3">
        <v>63240.131000000001</v>
      </c>
      <c r="E55" s="3">
        <v>11.702</v>
      </c>
      <c r="F55" s="3">
        <v>84</v>
      </c>
    </row>
    <row r="56" spans="1:6" x14ac:dyDescent="0.25">
      <c r="A56" s="3" t="s">
        <v>1</v>
      </c>
      <c r="B56" s="3">
        <v>100</v>
      </c>
      <c r="C56" s="3">
        <v>1</v>
      </c>
      <c r="D56" s="3">
        <v>63108.58</v>
      </c>
      <c r="E56" s="3">
        <v>11.776</v>
      </c>
      <c r="F56" s="3">
        <v>85</v>
      </c>
    </row>
    <row r="57" spans="1:6" x14ac:dyDescent="0.25">
      <c r="A57" s="3" t="s">
        <v>1</v>
      </c>
      <c r="B57" s="3">
        <v>100</v>
      </c>
      <c r="C57" s="3">
        <v>1</v>
      </c>
      <c r="D57" s="3">
        <v>63265.445</v>
      </c>
      <c r="E57" s="3">
        <v>11.707000000000001</v>
      </c>
      <c r="F57" s="3">
        <v>86</v>
      </c>
    </row>
    <row r="58" spans="1:6" x14ac:dyDescent="0.25">
      <c r="A58" s="3" t="s">
        <v>1</v>
      </c>
      <c r="B58" s="3">
        <v>100</v>
      </c>
      <c r="C58" s="3">
        <v>1</v>
      </c>
      <c r="D58" s="3">
        <v>63124.345999999998</v>
      </c>
      <c r="E58" s="3">
        <v>11.7</v>
      </c>
      <c r="F58" s="3">
        <v>85</v>
      </c>
    </row>
    <row r="59" spans="1:6" x14ac:dyDescent="0.25">
      <c r="A59" s="3" t="s">
        <v>1</v>
      </c>
      <c r="B59" s="3">
        <v>100</v>
      </c>
      <c r="C59" s="3">
        <v>1</v>
      </c>
      <c r="D59" s="3">
        <v>63145.593000000001</v>
      </c>
      <c r="E59" s="3">
        <v>11.726000000000001</v>
      </c>
      <c r="F59" s="3">
        <v>84</v>
      </c>
    </row>
    <row r="60" spans="1:6" x14ac:dyDescent="0.25">
      <c r="A60" s="3" t="s">
        <v>1</v>
      </c>
      <c r="B60" s="3">
        <v>100</v>
      </c>
      <c r="C60" s="3">
        <v>1</v>
      </c>
      <c r="D60" s="3">
        <v>63276.995000000003</v>
      </c>
      <c r="E60" s="3">
        <v>11.723000000000001</v>
      </c>
      <c r="F60" s="3">
        <v>85</v>
      </c>
    </row>
    <row r="61" spans="1:6" x14ac:dyDescent="0.25">
      <c r="A61" s="3" t="s">
        <v>0</v>
      </c>
      <c r="B61" s="3">
        <v>25</v>
      </c>
      <c r="C61" s="3">
        <v>1</v>
      </c>
      <c r="D61" s="3">
        <v>723.80700000000002</v>
      </c>
      <c r="E61" s="3">
        <v>0.94099999999999995</v>
      </c>
      <c r="F61" s="3">
        <v>86</v>
      </c>
    </row>
    <row r="62" spans="1:6" x14ac:dyDescent="0.25">
      <c r="A62" s="3" t="s">
        <v>0</v>
      </c>
      <c r="B62" s="3">
        <v>25</v>
      </c>
      <c r="C62" s="3">
        <v>1</v>
      </c>
      <c r="D62" s="3">
        <v>723.59400000000005</v>
      </c>
      <c r="E62" s="3">
        <v>0.90500000000000003</v>
      </c>
      <c r="F62" s="3">
        <v>107</v>
      </c>
    </row>
    <row r="63" spans="1:6" x14ac:dyDescent="0.25">
      <c r="A63" s="3" t="s">
        <v>0</v>
      </c>
      <c r="B63" s="3">
        <v>25</v>
      </c>
      <c r="C63" s="3">
        <v>1</v>
      </c>
      <c r="D63" s="3">
        <v>723.59699999999998</v>
      </c>
      <c r="E63" s="3">
        <v>0.90200000000000002</v>
      </c>
      <c r="F63" s="3">
        <v>93</v>
      </c>
    </row>
    <row r="64" spans="1:6" x14ac:dyDescent="0.25">
      <c r="A64" s="3" t="s">
        <v>0</v>
      </c>
      <c r="B64" s="3">
        <v>25</v>
      </c>
      <c r="C64" s="3">
        <v>1</v>
      </c>
      <c r="D64" s="3">
        <v>723.14</v>
      </c>
      <c r="E64" s="3">
        <v>0.90600000000000003</v>
      </c>
      <c r="F64" s="3">
        <v>105</v>
      </c>
    </row>
    <row r="65" spans="1:6" x14ac:dyDescent="0.25">
      <c r="A65" s="3" t="s">
        <v>0</v>
      </c>
      <c r="B65" s="3">
        <v>25</v>
      </c>
      <c r="C65" s="3">
        <v>1</v>
      </c>
      <c r="D65" s="3">
        <v>723.87300000000005</v>
      </c>
      <c r="E65" s="3">
        <v>0.90300000000000002</v>
      </c>
      <c r="F65" s="3">
        <v>98</v>
      </c>
    </row>
    <row r="66" spans="1:6" x14ac:dyDescent="0.25">
      <c r="A66" s="3" t="s">
        <v>0</v>
      </c>
      <c r="B66" s="3">
        <v>25</v>
      </c>
      <c r="C66" s="3">
        <v>1</v>
      </c>
      <c r="D66" s="3">
        <v>723.67</v>
      </c>
      <c r="E66" s="3">
        <v>0.90200000000000002</v>
      </c>
      <c r="F66" s="3">
        <v>107</v>
      </c>
    </row>
    <row r="67" spans="1:6" x14ac:dyDescent="0.25">
      <c r="A67" s="3" t="s">
        <v>0</v>
      </c>
      <c r="B67" s="3">
        <v>25</v>
      </c>
      <c r="C67" s="3">
        <v>1</v>
      </c>
      <c r="D67" s="3">
        <v>723.74599999999998</v>
      </c>
      <c r="E67" s="3">
        <v>0.90400000000000003</v>
      </c>
      <c r="F67" s="3">
        <v>99</v>
      </c>
    </row>
    <row r="68" spans="1:6" x14ac:dyDescent="0.25">
      <c r="A68" s="3" t="s">
        <v>0</v>
      </c>
      <c r="B68" s="3">
        <v>25</v>
      </c>
      <c r="C68" s="3">
        <v>1</v>
      </c>
      <c r="D68" s="3">
        <v>723.58500000000004</v>
      </c>
      <c r="E68" s="3">
        <v>0.90100000000000002</v>
      </c>
      <c r="F68" s="3">
        <v>99</v>
      </c>
    </row>
    <row r="69" spans="1:6" x14ac:dyDescent="0.25">
      <c r="A69" s="3" t="s">
        <v>0</v>
      </c>
      <c r="B69" s="3">
        <v>25</v>
      </c>
      <c r="C69" s="3">
        <v>1</v>
      </c>
      <c r="D69" s="3">
        <v>723.83100000000002</v>
      </c>
      <c r="E69" s="3">
        <v>0.90400000000000003</v>
      </c>
      <c r="F69" s="3">
        <v>94</v>
      </c>
    </row>
    <row r="70" spans="1:6" x14ac:dyDescent="0.25">
      <c r="A70" s="3" t="s">
        <v>0</v>
      </c>
      <c r="B70" s="3">
        <v>25</v>
      </c>
      <c r="C70" s="3">
        <v>1</v>
      </c>
      <c r="D70" s="3">
        <v>723.49599999999998</v>
      </c>
      <c r="E70" s="3">
        <v>0.90700000000000003</v>
      </c>
      <c r="F70" s="3">
        <v>104</v>
      </c>
    </row>
    <row r="71" spans="1:6" x14ac:dyDescent="0.25">
      <c r="A71" s="3" t="s">
        <v>0</v>
      </c>
      <c r="B71" s="3">
        <v>50</v>
      </c>
      <c r="C71" s="3">
        <v>1</v>
      </c>
      <c r="D71" s="3">
        <v>1573.116</v>
      </c>
      <c r="E71" s="3">
        <v>3.411</v>
      </c>
      <c r="F71" s="3">
        <v>101</v>
      </c>
    </row>
    <row r="72" spans="1:6" x14ac:dyDescent="0.25">
      <c r="A72" s="3" t="s">
        <v>0</v>
      </c>
      <c r="B72" s="3">
        <v>50</v>
      </c>
      <c r="C72" s="3">
        <v>1</v>
      </c>
      <c r="D72" s="3">
        <v>1573.633</v>
      </c>
      <c r="E72" s="3">
        <v>3.375</v>
      </c>
      <c r="F72" s="3">
        <v>103</v>
      </c>
    </row>
    <row r="73" spans="1:6" x14ac:dyDescent="0.25">
      <c r="A73" s="3" t="s">
        <v>0</v>
      </c>
      <c r="B73" s="3">
        <v>50</v>
      </c>
      <c r="C73" s="3">
        <v>1</v>
      </c>
      <c r="D73" s="3">
        <v>1572.077</v>
      </c>
      <c r="E73" s="3">
        <v>3.375</v>
      </c>
      <c r="F73" s="3">
        <v>101</v>
      </c>
    </row>
    <row r="74" spans="1:6" x14ac:dyDescent="0.25">
      <c r="A74" s="3" t="s">
        <v>0</v>
      </c>
      <c r="B74" s="3">
        <v>50</v>
      </c>
      <c r="C74" s="3">
        <v>1</v>
      </c>
      <c r="D74" s="3">
        <v>1573.2180000000001</v>
      </c>
      <c r="E74" s="3">
        <v>3.3879999999999999</v>
      </c>
      <c r="F74" s="3">
        <v>99</v>
      </c>
    </row>
    <row r="75" spans="1:6" x14ac:dyDescent="0.25">
      <c r="A75" s="3" t="s">
        <v>0</v>
      </c>
      <c r="B75" s="3">
        <v>50</v>
      </c>
      <c r="C75" s="3">
        <v>1</v>
      </c>
      <c r="D75" s="3">
        <v>1573.23</v>
      </c>
      <c r="E75" s="3">
        <v>3.3780000000000001</v>
      </c>
      <c r="F75" s="3">
        <v>102</v>
      </c>
    </row>
    <row r="76" spans="1:6" x14ac:dyDescent="0.25">
      <c r="A76" s="3" t="s">
        <v>0</v>
      </c>
      <c r="B76" s="3">
        <v>50</v>
      </c>
      <c r="C76" s="3">
        <v>1</v>
      </c>
      <c r="D76" s="3">
        <v>1571.7380000000001</v>
      </c>
      <c r="E76" s="3">
        <v>3.3780000000000001</v>
      </c>
      <c r="F76" s="3">
        <v>107</v>
      </c>
    </row>
    <row r="77" spans="1:6" x14ac:dyDescent="0.25">
      <c r="A77" s="3" t="s">
        <v>0</v>
      </c>
      <c r="B77" s="3">
        <v>50</v>
      </c>
      <c r="C77" s="3">
        <v>1</v>
      </c>
      <c r="D77" s="3">
        <v>1571.671</v>
      </c>
      <c r="E77" s="3">
        <v>3.3809999999999998</v>
      </c>
      <c r="F77" s="3">
        <v>102</v>
      </c>
    </row>
    <row r="78" spans="1:6" x14ac:dyDescent="0.25">
      <c r="A78" s="3" t="s">
        <v>0</v>
      </c>
      <c r="B78" s="3">
        <v>50</v>
      </c>
      <c r="C78" s="3">
        <v>1</v>
      </c>
      <c r="D78" s="3">
        <v>1571.74</v>
      </c>
      <c r="E78" s="3">
        <v>3.371</v>
      </c>
      <c r="F78" s="3">
        <v>103</v>
      </c>
    </row>
    <row r="79" spans="1:6" x14ac:dyDescent="0.25">
      <c r="A79" s="3" t="s">
        <v>0</v>
      </c>
      <c r="B79" s="3">
        <v>50</v>
      </c>
      <c r="C79" s="3">
        <v>1</v>
      </c>
      <c r="D79" s="3">
        <v>1572.5409999999999</v>
      </c>
      <c r="E79" s="3">
        <v>3.3719999999999999</v>
      </c>
      <c r="F79" s="3">
        <v>101</v>
      </c>
    </row>
    <row r="80" spans="1:6" x14ac:dyDescent="0.25">
      <c r="A80" s="3" t="s">
        <v>0</v>
      </c>
      <c r="B80" s="3">
        <v>50</v>
      </c>
      <c r="C80" s="3">
        <v>1</v>
      </c>
      <c r="D80" s="3">
        <v>1574.056</v>
      </c>
      <c r="E80" s="3">
        <v>3.3769999999999998</v>
      </c>
      <c r="F80" s="3">
        <v>104</v>
      </c>
    </row>
    <row r="81" spans="1:6" x14ac:dyDescent="0.25">
      <c r="A81" s="3" t="s">
        <v>0</v>
      </c>
      <c r="B81" s="3">
        <v>100</v>
      </c>
      <c r="C81" s="3">
        <v>1</v>
      </c>
      <c r="D81" s="3">
        <v>3300.17</v>
      </c>
      <c r="E81" s="3">
        <v>11.371</v>
      </c>
      <c r="F81" s="3">
        <v>82</v>
      </c>
    </row>
    <row r="82" spans="1:6" x14ac:dyDescent="0.25">
      <c r="A82" s="3" t="s">
        <v>0</v>
      </c>
      <c r="B82" s="3">
        <v>100</v>
      </c>
      <c r="C82" s="3">
        <v>1</v>
      </c>
      <c r="D82" s="3">
        <v>3301.7469999999998</v>
      </c>
      <c r="E82" s="3">
        <v>11.416</v>
      </c>
      <c r="F82" s="3">
        <v>83</v>
      </c>
    </row>
    <row r="83" spans="1:6" x14ac:dyDescent="0.25">
      <c r="A83" s="3" t="s">
        <v>0</v>
      </c>
      <c r="B83" s="3">
        <v>100</v>
      </c>
      <c r="C83" s="3">
        <v>1</v>
      </c>
      <c r="D83" s="3">
        <v>3302.7860000000001</v>
      </c>
      <c r="E83" s="3">
        <v>11.337999999999999</v>
      </c>
      <c r="F83" s="3">
        <v>83</v>
      </c>
    </row>
    <row r="84" spans="1:6" x14ac:dyDescent="0.25">
      <c r="A84" s="3" t="s">
        <v>0</v>
      </c>
      <c r="B84" s="3">
        <v>100</v>
      </c>
      <c r="C84" s="3">
        <v>1</v>
      </c>
      <c r="D84" s="3">
        <v>3301.7849999999999</v>
      </c>
      <c r="E84" s="3">
        <v>11.378</v>
      </c>
      <c r="F84" s="3">
        <v>83</v>
      </c>
    </row>
    <row r="85" spans="1:6" x14ac:dyDescent="0.25">
      <c r="A85" s="3" t="s">
        <v>0</v>
      </c>
      <c r="B85" s="3">
        <v>100</v>
      </c>
      <c r="C85" s="3">
        <v>1</v>
      </c>
      <c r="D85" s="3">
        <v>3298.1039999999998</v>
      </c>
      <c r="E85" s="3">
        <v>11.395</v>
      </c>
      <c r="F85" s="3">
        <v>82</v>
      </c>
    </row>
    <row r="86" spans="1:6" x14ac:dyDescent="0.25">
      <c r="A86" s="3" t="s">
        <v>0</v>
      </c>
      <c r="B86" s="3">
        <v>100</v>
      </c>
      <c r="C86" s="3">
        <v>1</v>
      </c>
      <c r="D86" s="3">
        <v>3293.424</v>
      </c>
      <c r="E86" s="3">
        <v>11.397</v>
      </c>
      <c r="F86" s="3">
        <v>84</v>
      </c>
    </row>
    <row r="87" spans="1:6" x14ac:dyDescent="0.25">
      <c r="A87" s="3" t="s">
        <v>0</v>
      </c>
      <c r="B87" s="3">
        <v>100</v>
      </c>
      <c r="C87" s="3">
        <v>1</v>
      </c>
      <c r="D87" s="3">
        <v>3303.23</v>
      </c>
      <c r="E87" s="3">
        <v>11.391999999999999</v>
      </c>
      <c r="F87" s="3">
        <v>84</v>
      </c>
    </row>
    <row r="88" spans="1:6" x14ac:dyDescent="0.25">
      <c r="A88" s="3" t="s">
        <v>0</v>
      </c>
      <c r="B88" s="3">
        <v>100</v>
      </c>
      <c r="C88" s="3">
        <v>1</v>
      </c>
      <c r="D88" s="3">
        <v>3294.13</v>
      </c>
      <c r="E88" s="3">
        <v>11.323</v>
      </c>
      <c r="F88" s="3">
        <v>83</v>
      </c>
    </row>
    <row r="89" spans="1:6" x14ac:dyDescent="0.25">
      <c r="A89" s="3" t="s">
        <v>0</v>
      </c>
      <c r="B89" s="3">
        <v>100</v>
      </c>
      <c r="C89" s="3">
        <v>1</v>
      </c>
      <c r="D89" s="3">
        <v>3300.63</v>
      </c>
      <c r="E89" s="3">
        <v>11.366</v>
      </c>
      <c r="F89" s="3">
        <v>83</v>
      </c>
    </row>
    <row r="90" spans="1:6" x14ac:dyDescent="0.25">
      <c r="A90" s="3" t="s">
        <v>0</v>
      </c>
      <c r="B90" s="3">
        <v>100</v>
      </c>
      <c r="C90" s="3">
        <v>1</v>
      </c>
      <c r="D90" s="3">
        <v>3292.058</v>
      </c>
      <c r="E90" s="3">
        <v>11.45</v>
      </c>
      <c r="F90" s="3">
        <v>84</v>
      </c>
    </row>
  </sheetData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0"/>
  <sheetViews>
    <sheetView zoomScale="85" zoomScaleNormal="85" workbookViewId="0">
      <selection sqref="A1:F91"/>
    </sheetView>
  </sheetViews>
  <sheetFormatPr defaultColWidth="9" defaultRowHeight="15" x14ac:dyDescent="0.25"/>
  <cols>
    <col min="1" max="1" width="9.875" style="3" customWidth="1"/>
    <col min="2" max="2" width="4.375" style="3" bestFit="1" customWidth="1"/>
    <col min="3" max="3" width="2.625" style="3" bestFit="1" customWidth="1"/>
    <col min="4" max="4" width="11" style="3" customWidth="1"/>
    <col min="5" max="5" width="7" style="3" bestFit="1" customWidth="1"/>
    <col min="6" max="6" width="4.375" style="3" bestFit="1" customWidth="1"/>
    <col min="7" max="7" width="2.75" style="3" customWidth="1"/>
    <col min="8" max="8" width="9.875" style="3" customWidth="1"/>
    <col min="9" max="9" width="4.375" style="3" bestFit="1" customWidth="1"/>
    <col min="10" max="10" width="3.125" style="3" bestFit="1" customWidth="1"/>
    <col min="11" max="11" width="2" style="3" customWidth="1"/>
    <col min="12" max="21" width="9" style="3"/>
    <col min="22" max="22" width="2.375" style="3" customWidth="1"/>
    <col min="23" max="23" width="9" style="3"/>
    <col min="24" max="24" width="2.125" style="3" customWidth="1"/>
    <col min="25" max="25" width="9" style="3"/>
    <col min="26" max="27" width="2.375" style="3" customWidth="1"/>
    <col min="28" max="37" width="9" style="3"/>
    <col min="38" max="38" width="5.625" style="3" customWidth="1"/>
    <col min="39" max="16384" width="9" style="3"/>
  </cols>
  <sheetData>
    <row r="1" spans="1:39" x14ac:dyDescent="0.25">
      <c r="A1" s="3" t="s">
        <v>2</v>
      </c>
      <c r="B1" s="3">
        <v>24</v>
      </c>
      <c r="C1" s="3">
        <v>1</v>
      </c>
      <c r="D1" s="3">
        <v>55975.561000000002</v>
      </c>
      <c r="E1" s="3">
        <v>1.238</v>
      </c>
      <c r="F1" s="3">
        <v>136</v>
      </c>
      <c r="H1" s="5" t="s">
        <v>13</v>
      </c>
      <c r="I1" s="5" t="s">
        <v>14</v>
      </c>
      <c r="J1" s="5" t="s">
        <v>10</v>
      </c>
      <c r="K1" s="2"/>
      <c r="L1" s="2">
        <v>1</v>
      </c>
      <c r="M1" s="2">
        <v>2</v>
      </c>
      <c r="N1" s="2">
        <v>3</v>
      </c>
      <c r="O1" s="2">
        <v>4</v>
      </c>
      <c r="P1" s="2">
        <v>5</v>
      </c>
      <c r="Q1" s="2">
        <v>6</v>
      </c>
      <c r="R1" s="2">
        <v>7</v>
      </c>
      <c r="S1" s="2">
        <v>8</v>
      </c>
      <c r="T1" s="2">
        <v>9</v>
      </c>
      <c r="U1" s="2">
        <v>10</v>
      </c>
      <c r="W1" s="2" t="s">
        <v>11</v>
      </c>
      <c r="X1" s="2"/>
      <c r="Y1" s="2" t="s">
        <v>9</v>
      </c>
      <c r="Z1" s="2"/>
      <c r="AM1" s="5" t="s">
        <v>12</v>
      </c>
    </row>
    <row r="2" spans="1:39" x14ac:dyDescent="0.25">
      <c r="A2" s="3" t="s">
        <v>2</v>
      </c>
      <c r="B2" s="3">
        <v>24</v>
      </c>
      <c r="C2" s="3">
        <v>1</v>
      </c>
      <c r="D2" s="3">
        <v>55976.076000000001</v>
      </c>
      <c r="E2" s="3">
        <v>1.236</v>
      </c>
      <c r="F2" s="3">
        <v>157</v>
      </c>
      <c r="H2" s="3" t="s">
        <v>2</v>
      </c>
      <c r="I2" s="3">
        <v>24</v>
      </c>
      <c r="J2" s="3">
        <v>1</v>
      </c>
      <c r="L2" s="3">
        <f ca="1">INDIRECT("D"&amp;1+(ROW(D1)-1)*10+COLUMN(A1)-1)</f>
        <v>55975.561000000002</v>
      </c>
      <c r="M2" s="3">
        <f t="shared" ref="M2:U10" ca="1" si="0">INDIRECT("D"&amp;1+(ROW(E1)-1)*10+COLUMN(B1)-1)</f>
        <v>55976.076000000001</v>
      </c>
      <c r="N2" s="3">
        <f t="shared" ca="1" si="0"/>
        <v>55982.74</v>
      </c>
      <c r="O2" s="3">
        <f t="shared" ca="1" si="0"/>
        <v>56039.389000000003</v>
      </c>
      <c r="P2" s="3">
        <f t="shared" ca="1" si="0"/>
        <v>56001.016000000003</v>
      </c>
      <c r="Q2" s="3">
        <f t="shared" ca="1" si="0"/>
        <v>55948.906000000003</v>
      </c>
      <c r="R2" s="3">
        <f t="shared" ca="1" si="0"/>
        <v>55969.016000000003</v>
      </c>
      <c r="S2" s="3">
        <f t="shared" ca="1" si="0"/>
        <v>55978.447999999997</v>
      </c>
      <c r="T2" s="3">
        <f t="shared" ca="1" si="0"/>
        <v>55955.05</v>
      </c>
      <c r="U2" s="3">
        <f t="shared" ca="1" si="0"/>
        <v>55948.203999999998</v>
      </c>
      <c r="W2" s="3">
        <f ca="1">AVERAGE(L2:U2)</f>
        <v>55977.440599999994</v>
      </c>
      <c r="Y2" s="3">
        <f ca="1">Total!E2</f>
        <v>55722.476000000002</v>
      </c>
      <c r="AB2" s="3">
        <f t="shared" ref="AB2:AK10" ca="1" si="1">(L2-$Y2)/$Y2</f>
        <v>4.5418836018700807E-3</v>
      </c>
      <c r="AC2" s="3">
        <f t="shared" ca="1" si="1"/>
        <v>4.551125832958294E-3</v>
      </c>
      <c r="AD2" s="3">
        <f t="shared" ca="1" si="1"/>
        <v>4.670718508631877E-3</v>
      </c>
      <c r="AE2" s="3">
        <f t="shared" ca="1" si="1"/>
        <v>5.6873459822567906E-3</v>
      </c>
      <c r="AF2" s="3">
        <f t="shared" ca="1" si="1"/>
        <v>4.9987010627453249E-3</v>
      </c>
      <c r="AG2" s="3">
        <f t="shared" ca="1" si="1"/>
        <v>4.063530845255338E-3</v>
      </c>
      <c r="AH2" s="3">
        <f t="shared" ca="1" si="1"/>
        <v>4.4244265096906477E-3</v>
      </c>
      <c r="AI2" s="3">
        <f t="shared" ca="1" si="1"/>
        <v>4.5936939342033955E-3</v>
      </c>
      <c r="AJ2" s="3">
        <f t="shared" ca="1" si="1"/>
        <v>4.1737915594418406E-3</v>
      </c>
      <c r="AK2" s="3">
        <f t="shared" ca="1" si="1"/>
        <v>4.0509326972476157E-3</v>
      </c>
      <c r="AM2" s="3">
        <f ca="1">SUM(AB2:AK2)</f>
        <v>4.5756150534301203E-2</v>
      </c>
    </row>
    <row r="3" spans="1:39" x14ac:dyDescent="0.25">
      <c r="A3" s="3" t="s">
        <v>2</v>
      </c>
      <c r="B3" s="3">
        <v>24</v>
      </c>
      <c r="C3" s="3">
        <v>1</v>
      </c>
      <c r="D3" s="3">
        <v>55982.74</v>
      </c>
      <c r="E3" s="3">
        <v>1.2410000000000001</v>
      </c>
      <c r="F3" s="3">
        <v>163</v>
      </c>
      <c r="H3" s="3" t="s">
        <v>2</v>
      </c>
      <c r="I3" s="3">
        <v>47</v>
      </c>
      <c r="J3" s="3">
        <v>1</v>
      </c>
      <c r="L3" s="3">
        <f t="shared" ref="L3:L10" ca="1" si="2">INDIRECT("D"&amp;1+(ROW(D2)-1)*10+COLUMN(A2)-1)</f>
        <v>126254.254</v>
      </c>
      <c r="M3" s="3">
        <f t="shared" ca="1" si="0"/>
        <v>126199.183</v>
      </c>
      <c r="N3" s="3">
        <f t="shared" ca="1" si="0"/>
        <v>126297.713</v>
      </c>
      <c r="O3" s="3">
        <f t="shared" ca="1" si="0"/>
        <v>126340.338</v>
      </c>
      <c r="P3" s="3">
        <f t="shared" ca="1" si="0"/>
        <v>126206.651</v>
      </c>
      <c r="Q3" s="3">
        <f t="shared" ca="1" si="0"/>
        <v>126438.822</v>
      </c>
      <c r="R3" s="3">
        <f t="shared" ca="1" si="0"/>
        <v>126403.323</v>
      </c>
      <c r="S3" s="3">
        <f t="shared" ca="1" si="0"/>
        <v>126265.783</v>
      </c>
      <c r="T3" s="3">
        <f t="shared" ca="1" si="0"/>
        <v>126216.658</v>
      </c>
      <c r="U3" s="3">
        <f t="shared" ca="1" si="0"/>
        <v>126318.245</v>
      </c>
      <c r="W3" s="3">
        <f t="shared" ref="W3:W10" ca="1" si="3">AVERAGE(L3:U3)</f>
        <v>126294.09700000002</v>
      </c>
      <c r="Y3" s="3">
        <f ca="1">Total!E3</f>
        <v>126021.209</v>
      </c>
      <c r="AB3" s="3">
        <f t="shared" ca="1" si="1"/>
        <v>1.849252215950398E-3</v>
      </c>
      <c r="AC3" s="3">
        <f t="shared" ca="1" si="1"/>
        <v>1.4122543452190018E-3</v>
      </c>
      <c r="AD3" s="3">
        <f t="shared" ca="1" si="1"/>
        <v>2.1941068665672046E-3</v>
      </c>
      <c r="AE3" s="3">
        <f t="shared" ca="1" si="1"/>
        <v>2.5323435835312514E-3</v>
      </c>
      <c r="AF3" s="3">
        <f t="shared" ca="1" si="1"/>
        <v>1.4715142115482756E-3</v>
      </c>
      <c r="AG3" s="3">
        <f t="shared" ca="1" si="1"/>
        <v>3.3138310869561451E-3</v>
      </c>
      <c r="AH3" s="3">
        <f t="shared" ca="1" si="1"/>
        <v>3.0321404074134966E-3</v>
      </c>
      <c r="AI3" s="3">
        <f t="shared" ca="1" si="1"/>
        <v>1.9407368167686221E-3</v>
      </c>
      <c r="AJ3" s="3">
        <f t="shared" ca="1" si="1"/>
        <v>1.5509214802088848E-3</v>
      </c>
      <c r="AK3" s="3">
        <f t="shared" ca="1" si="1"/>
        <v>2.3570318231115588E-3</v>
      </c>
      <c r="AM3" s="3">
        <f t="shared" ref="AM3:AM10" ca="1" si="4">SUM(AB3:AK3)</f>
        <v>2.1654132837274839E-2</v>
      </c>
    </row>
    <row r="4" spans="1:39" x14ac:dyDescent="0.25">
      <c r="A4" s="3" t="s">
        <v>2</v>
      </c>
      <c r="B4" s="3">
        <v>24</v>
      </c>
      <c r="C4" s="3">
        <v>1</v>
      </c>
      <c r="D4" s="3">
        <v>56039.389000000003</v>
      </c>
      <c r="E4" s="3">
        <v>1.2390000000000001</v>
      </c>
      <c r="F4" s="3">
        <v>155</v>
      </c>
      <c r="H4" s="3" t="s">
        <v>2</v>
      </c>
      <c r="I4" s="3">
        <v>100</v>
      </c>
      <c r="J4" s="3">
        <v>1</v>
      </c>
      <c r="L4" s="3">
        <f t="shared" ca="1" si="2"/>
        <v>1217800.959</v>
      </c>
      <c r="M4" s="3">
        <f t="shared" ca="1" si="0"/>
        <v>1217190.8230000001</v>
      </c>
      <c r="N4" s="3">
        <f t="shared" ca="1" si="0"/>
        <v>1217302.6189999999</v>
      </c>
      <c r="O4" s="3">
        <f t="shared" ca="1" si="0"/>
        <v>1216632.2350000001</v>
      </c>
      <c r="P4" s="3">
        <f t="shared" ca="1" si="0"/>
        <v>1216931.074</v>
      </c>
      <c r="Q4" s="3">
        <f t="shared" ca="1" si="0"/>
        <v>1217232.129</v>
      </c>
      <c r="R4" s="3">
        <f t="shared" ca="1" si="0"/>
        <v>1217507.1159999999</v>
      </c>
      <c r="S4" s="3">
        <f t="shared" ca="1" si="0"/>
        <v>1216866.9850000001</v>
      </c>
      <c r="T4" s="3">
        <f t="shared" ca="1" si="0"/>
        <v>1216990.3559999999</v>
      </c>
      <c r="U4" s="3">
        <f t="shared" ca="1" si="0"/>
        <v>1216716.1540000001</v>
      </c>
      <c r="W4" s="3">
        <f t="shared" ca="1" si="3"/>
        <v>1217117.0449999999</v>
      </c>
      <c r="Y4" s="3">
        <f ca="1">Total!E4</f>
        <v>1216556.6340000001</v>
      </c>
      <c r="AB4" s="3">
        <f t="shared" ca="1" si="1"/>
        <v>1.0228253787977399E-3</v>
      </c>
      <c r="AC4" s="3">
        <f t="shared" ca="1" si="1"/>
        <v>5.2129837795945389E-4</v>
      </c>
      <c r="AD4" s="3">
        <f t="shared" ca="1" si="1"/>
        <v>6.1319381206865337E-4</v>
      </c>
      <c r="AE4" s="3">
        <f t="shared" ca="1" si="1"/>
        <v>6.2143428334651796E-5</v>
      </c>
      <c r="AF4" s="3">
        <f t="shared" ca="1" si="1"/>
        <v>3.0778673966767758E-4</v>
      </c>
      <c r="AG4" s="3">
        <f t="shared" ca="1" si="1"/>
        <v>5.5525158559932596E-4</v>
      </c>
      <c r="AH4" s="3">
        <f t="shared" ca="1" si="1"/>
        <v>7.8128874023290513E-4</v>
      </c>
      <c r="AI4" s="3">
        <f t="shared" ca="1" si="1"/>
        <v>2.5510608493383482E-4</v>
      </c>
      <c r="AJ4" s="3">
        <f t="shared" ca="1" si="1"/>
        <v>3.5651607814900476E-4</v>
      </c>
      <c r="AK4" s="3">
        <f t="shared" ca="1" si="1"/>
        <v>1.3112418735124716E-4</v>
      </c>
      <c r="AM4" s="3">
        <f t="shared" ca="1" si="4"/>
        <v>4.6065344130944942E-3</v>
      </c>
    </row>
    <row r="5" spans="1:39" x14ac:dyDescent="0.25">
      <c r="A5" s="3" t="s">
        <v>2</v>
      </c>
      <c r="B5" s="3">
        <v>24</v>
      </c>
      <c r="C5" s="3">
        <v>1</v>
      </c>
      <c r="D5" s="3">
        <v>56001.016000000003</v>
      </c>
      <c r="E5" s="3">
        <v>1.238</v>
      </c>
      <c r="F5" s="3">
        <v>154</v>
      </c>
      <c r="H5" s="3" t="s">
        <v>1</v>
      </c>
      <c r="I5" s="3">
        <v>30</v>
      </c>
      <c r="J5" s="3">
        <v>1</v>
      </c>
      <c r="L5" s="3">
        <f t="shared" ca="1" si="2"/>
        <v>20045.972000000002</v>
      </c>
      <c r="M5" s="3">
        <f t="shared" ca="1" si="0"/>
        <v>20049.677</v>
      </c>
      <c r="N5" s="3">
        <f t="shared" ca="1" si="0"/>
        <v>19985.637999999999</v>
      </c>
      <c r="O5" s="3">
        <f t="shared" ca="1" si="0"/>
        <v>20044.361000000001</v>
      </c>
      <c r="P5" s="3">
        <f t="shared" ca="1" si="0"/>
        <v>20041.032999999999</v>
      </c>
      <c r="Q5" s="3">
        <f t="shared" ca="1" si="0"/>
        <v>20016.87</v>
      </c>
      <c r="R5" s="3">
        <f t="shared" ca="1" si="0"/>
        <v>20023.059000000001</v>
      </c>
      <c r="S5" s="3">
        <f t="shared" ca="1" si="0"/>
        <v>20078.518</v>
      </c>
      <c r="T5" s="3">
        <f t="shared" ca="1" si="0"/>
        <v>20003.427</v>
      </c>
      <c r="U5" s="3">
        <f t="shared" ca="1" si="0"/>
        <v>19996.873</v>
      </c>
      <c r="W5" s="3">
        <f t="shared" ca="1" si="3"/>
        <v>20028.542799999999</v>
      </c>
      <c r="Y5" s="3">
        <f ca="1">Total!E5</f>
        <v>19969.536</v>
      </c>
      <c r="AB5" s="3">
        <f t="shared" ca="1" si="1"/>
        <v>3.8276302463913789E-3</v>
      </c>
      <c r="AC5" s="3">
        <f t="shared" ca="1" si="1"/>
        <v>4.0131628496525721E-3</v>
      </c>
      <c r="AD5" s="3">
        <f t="shared" ca="1" si="1"/>
        <v>8.0632819911283628E-4</v>
      </c>
      <c r="AE5" s="3">
        <f t="shared" ca="1" si="1"/>
        <v>3.7469573654591035E-3</v>
      </c>
      <c r="AF5" s="3">
        <f t="shared" ca="1" si="1"/>
        <v>3.5803035183190729E-3</v>
      </c>
      <c r="AG5" s="3">
        <f t="shared" ca="1" si="1"/>
        <v>2.3703104568878778E-3</v>
      </c>
      <c r="AH5" s="3">
        <f t="shared" ca="1" si="1"/>
        <v>2.680232530190038E-3</v>
      </c>
      <c r="AI5" s="3">
        <f t="shared" ca="1" si="1"/>
        <v>5.4574127310719677E-3</v>
      </c>
      <c r="AJ5" s="3">
        <f t="shared" ca="1" si="1"/>
        <v>1.6971350761479697E-3</v>
      </c>
      <c r="AK5" s="3">
        <f t="shared" ca="1" si="1"/>
        <v>1.3689351620387942E-3</v>
      </c>
      <c r="AM5" s="3">
        <f t="shared" ca="1" si="4"/>
        <v>2.9548408135271612E-2</v>
      </c>
    </row>
    <row r="6" spans="1:39" x14ac:dyDescent="0.25">
      <c r="A6" s="3" t="s">
        <v>2</v>
      </c>
      <c r="B6" s="3">
        <v>24</v>
      </c>
      <c r="C6" s="3">
        <v>1</v>
      </c>
      <c r="D6" s="3">
        <v>55948.906000000003</v>
      </c>
      <c r="E6" s="3">
        <v>1.2370000000000001</v>
      </c>
      <c r="F6" s="3">
        <v>165</v>
      </c>
      <c r="H6" s="3" t="s">
        <v>1</v>
      </c>
      <c r="I6" s="3">
        <v>50</v>
      </c>
      <c r="J6" s="3">
        <v>1</v>
      </c>
      <c r="L6" s="3">
        <f t="shared" ca="1" si="2"/>
        <v>35360.239000000001</v>
      </c>
      <c r="M6" s="3">
        <f t="shared" ca="1" si="0"/>
        <v>35397.002</v>
      </c>
      <c r="N6" s="3">
        <f t="shared" ca="1" si="0"/>
        <v>35506.966</v>
      </c>
      <c r="O6" s="3">
        <f t="shared" ca="1" si="0"/>
        <v>35350.752</v>
      </c>
      <c r="P6" s="3">
        <f t="shared" ca="1" si="0"/>
        <v>35466.546999999999</v>
      </c>
      <c r="Q6" s="3">
        <f t="shared" ca="1" si="0"/>
        <v>35429.620999999999</v>
      </c>
      <c r="R6" s="3">
        <f t="shared" ca="1" si="0"/>
        <v>35407.802000000003</v>
      </c>
      <c r="S6" s="3">
        <f t="shared" ca="1" si="0"/>
        <v>35404.720000000001</v>
      </c>
      <c r="T6" s="3">
        <f t="shared" ca="1" si="0"/>
        <v>35429.053999999996</v>
      </c>
      <c r="U6" s="3">
        <f t="shared" ca="1" si="0"/>
        <v>35378.06</v>
      </c>
      <c r="W6" s="3">
        <f t="shared" ca="1" si="3"/>
        <v>35413.076300000001</v>
      </c>
      <c r="Y6" s="3">
        <f ca="1">Total!E6</f>
        <v>35277.981</v>
      </c>
      <c r="AB6" s="3">
        <f t="shared" ca="1" si="1"/>
        <v>2.3317094025307634E-3</v>
      </c>
      <c r="AC6" s="3">
        <f t="shared" ca="1" si="1"/>
        <v>3.3738041868099154E-3</v>
      </c>
      <c r="AD6" s="3">
        <f t="shared" ca="1" si="1"/>
        <v>6.4908759942923205E-3</v>
      </c>
      <c r="AE6" s="3">
        <f t="shared" ca="1" si="1"/>
        <v>2.0627881170410698E-3</v>
      </c>
      <c r="AF6" s="3">
        <f t="shared" ca="1" si="1"/>
        <v>5.3451471613412032E-3</v>
      </c>
      <c r="AG6" s="3">
        <f t="shared" ca="1" si="1"/>
        <v>4.2984319312377719E-3</v>
      </c>
      <c r="AH6" s="3">
        <f t="shared" ca="1" si="1"/>
        <v>3.6799441555343984E-3</v>
      </c>
      <c r="AI6" s="3">
        <f t="shared" ca="1" si="1"/>
        <v>3.5925808792742816E-3</v>
      </c>
      <c r="AJ6" s="3">
        <f t="shared" ca="1" si="1"/>
        <v>4.2823595828796633E-3</v>
      </c>
      <c r="AK6" s="3">
        <f t="shared" ca="1" si="1"/>
        <v>2.8368686972193194E-3</v>
      </c>
      <c r="AM6" s="3">
        <f t="shared" ca="1" si="4"/>
        <v>3.82945101081607E-2</v>
      </c>
    </row>
    <row r="7" spans="1:39" x14ac:dyDescent="0.25">
      <c r="A7" s="3" t="s">
        <v>2</v>
      </c>
      <c r="B7" s="3">
        <v>24</v>
      </c>
      <c r="C7" s="3">
        <v>1</v>
      </c>
      <c r="D7" s="3">
        <v>55969.016000000003</v>
      </c>
      <c r="E7" s="3">
        <v>1.2390000000000001</v>
      </c>
      <c r="F7" s="3">
        <v>137</v>
      </c>
      <c r="H7" s="3" t="s">
        <v>1</v>
      </c>
      <c r="I7" s="3">
        <v>100</v>
      </c>
      <c r="J7" s="3">
        <v>1</v>
      </c>
      <c r="L7" s="3">
        <f t="shared" ca="1" si="2"/>
        <v>63096.428</v>
      </c>
      <c r="M7" s="3">
        <f t="shared" ca="1" si="0"/>
        <v>63109.775999999998</v>
      </c>
      <c r="N7" s="3">
        <f t="shared" ca="1" si="0"/>
        <v>63179.02</v>
      </c>
      <c r="O7" s="3">
        <f t="shared" ca="1" si="0"/>
        <v>63246.199000000001</v>
      </c>
      <c r="P7" s="3">
        <f t="shared" ca="1" si="0"/>
        <v>63154.110999999997</v>
      </c>
      <c r="Q7" s="3">
        <f t="shared" ca="1" si="0"/>
        <v>63119.817999999999</v>
      </c>
      <c r="R7" s="3">
        <f t="shared" ca="1" si="0"/>
        <v>63195.822</v>
      </c>
      <c r="S7" s="3">
        <f t="shared" ca="1" si="0"/>
        <v>63214.237000000001</v>
      </c>
      <c r="T7" s="3">
        <f t="shared" ca="1" si="0"/>
        <v>63119.970999999998</v>
      </c>
      <c r="U7" s="3">
        <f t="shared" ca="1" si="0"/>
        <v>63256.777000000002</v>
      </c>
      <c r="W7" s="3">
        <f t="shared" ca="1" si="3"/>
        <v>63169.215899999996</v>
      </c>
      <c r="Y7" s="3">
        <f ca="1">Total!E7</f>
        <v>63035.512000000002</v>
      </c>
      <c r="AB7" s="3">
        <f t="shared" ca="1" si="1"/>
        <v>9.6637590569578356E-4</v>
      </c>
      <c r="AC7" s="3">
        <f t="shared" ca="1" si="1"/>
        <v>1.1781295597312761E-3</v>
      </c>
      <c r="AD7" s="3">
        <f t="shared" ca="1" si="1"/>
        <v>2.2766214701324919E-3</v>
      </c>
      <c r="AE7" s="3">
        <f t="shared" ca="1" si="1"/>
        <v>3.3423540686081535E-3</v>
      </c>
      <c r="AF7" s="3">
        <f t="shared" ca="1" si="1"/>
        <v>1.8814632615341445E-3</v>
      </c>
      <c r="AG7" s="3">
        <f t="shared" ca="1" si="1"/>
        <v>1.3374365865386618E-3</v>
      </c>
      <c r="AH7" s="3">
        <f t="shared" ca="1" si="1"/>
        <v>2.5431696342848404E-3</v>
      </c>
      <c r="AI7" s="3">
        <f t="shared" ca="1" si="1"/>
        <v>2.8353065491083587E-3</v>
      </c>
      <c r="AJ7" s="3">
        <f t="shared" ca="1" si="1"/>
        <v>1.3398637897951123E-3</v>
      </c>
      <c r="AK7" s="3">
        <f t="shared" ca="1" si="1"/>
        <v>3.5101642388499898E-3</v>
      </c>
      <c r="AM7" s="3">
        <f t="shared" ca="1" si="4"/>
        <v>2.121088506427881E-2</v>
      </c>
    </row>
    <row r="8" spans="1:39" x14ac:dyDescent="0.25">
      <c r="A8" s="3" t="s">
        <v>2</v>
      </c>
      <c r="B8" s="3">
        <v>24</v>
      </c>
      <c r="C8" s="3">
        <v>1</v>
      </c>
      <c r="D8" s="3">
        <v>55978.447999999997</v>
      </c>
      <c r="E8" s="3">
        <v>1.278</v>
      </c>
      <c r="F8" s="3">
        <v>165</v>
      </c>
      <c r="H8" s="3" t="s">
        <v>0</v>
      </c>
      <c r="I8" s="3">
        <v>25</v>
      </c>
      <c r="J8" s="3">
        <v>1</v>
      </c>
      <c r="L8" s="3">
        <f t="shared" ca="1" si="2"/>
        <v>724.01099999999997</v>
      </c>
      <c r="M8" s="3">
        <f t="shared" ca="1" si="0"/>
        <v>723.41600000000005</v>
      </c>
      <c r="N8" s="3">
        <f t="shared" ca="1" si="0"/>
        <v>723.15700000000004</v>
      </c>
      <c r="O8" s="3">
        <f t="shared" ca="1" si="0"/>
        <v>723.53300000000002</v>
      </c>
      <c r="P8" s="3">
        <f t="shared" ca="1" si="0"/>
        <v>723.774</v>
      </c>
      <c r="Q8" s="3">
        <f t="shared" ca="1" si="0"/>
        <v>723.87599999999998</v>
      </c>
      <c r="R8" s="3">
        <f t="shared" ca="1" si="0"/>
        <v>723.77700000000004</v>
      </c>
      <c r="S8" s="3">
        <f t="shared" ca="1" si="0"/>
        <v>723.73500000000001</v>
      </c>
      <c r="T8" s="3">
        <f t="shared" ca="1" si="0"/>
        <v>722.98400000000004</v>
      </c>
      <c r="U8" s="3">
        <f t="shared" ca="1" si="0"/>
        <v>723.22500000000002</v>
      </c>
      <c r="W8" s="3">
        <f t="shared" ca="1" si="3"/>
        <v>723.54880000000003</v>
      </c>
      <c r="Y8" s="3">
        <f ca="1">Total!E8</f>
        <v>722.92</v>
      </c>
      <c r="AB8" s="3">
        <f t="shared" ca="1" si="1"/>
        <v>1.50915730647929E-3</v>
      </c>
      <c r="AC8" s="3">
        <f t="shared" ca="1" si="1"/>
        <v>6.8610634648383589E-4</v>
      </c>
      <c r="AD8" s="3">
        <f t="shared" ca="1" si="1"/>
        <v>3.2783710507397782E-4</v>
      </c>
      <c r="AE8" s="3">
        <f t="shared" ca="1" si="1"/>
        <v>8.4794998063417312E-4</v>
      </c>
      <c r="AF8" s="3">
        <f t="shared" ca="1" si="1"/>
        <v>1.1813202014054694E-3</v>
      </c>
      <c r="AG8" s="3">
        <f t="shared" ca="1" si="1"/>
        <v>1.3224146516903907E-3</v>
      </c>
      <c r="AH8" s="3">
        <f t="shared" ca="1" si="1"/>
        <v>1.1854700381786153E-3</v>
      </c>
      <c r="AI8" s="3">
        <f t="shared" ca="1" si="1"/>
        <v>1.127372323355357E-3</v>
      </c>
      <c r="AJ8" s="3">
        <f t="shared" ca="1" si="1"/>
        <v>8.8529851159295937E-5</v>
      </c>
      <c r="AK8" s="3">
        <f t="shared" ca="1" si="1"/>
        <v>4.2190007193059213E-4</v>
      </c>
      <c r="AM8" s="3">
        <f t="shared" ca="1" si="4"/>
        <v>8.6980578763909966E-3</v>
      </c>
    </row>
    <row r="9" spans="1:39" x14ac:dyDescent="0.25">
      <c r="A9" s="3" t="s">
        <v>2</v>
      </c>
      <c r="B9" s="3">
        <v>24</v>
      </c>
      <c r="C9" s="3">
        <v>1</v>
      </c>
      <c r="D9" s="3">
        <v>55955.05</v>
      </c>
      <c r="E9" s="3">
        <v>1.2350000000000001</v>
      </c>
      <c r="F9" s="3">
        <v>163</v>
      </c>
      <c r="H9" s="3" t="s">
        <v>0</v>
      </c>
      <c r="I9" s="3">
        <v>50</v>
      </c>
      <c r="J9" s="3">
        <v>1</v>
      </c>
      <c r="L9" s="3">
        <f t="shared" ca="1" si="2"/>
        <v>1572.68</v>
      </c>
      <c r="M9" s="3">
        <f t="shared" ca="1" si="0"/>
        <v>1573.519</v>
      </c>
      <c r="N9" s="3">
        <f t="shared" ca="1" si="0"/>
        <v>1573.356</v>
      </c>
      <c r="O9" s="3">
        <f t="shared" ca="1" si="0"/>
        <v>1574.473</v>
      </c>
      <c r="P9" s="3">
        <f t="shared" ca="1" si="0"/>
        <v>1573.0889999999999</v>
      </c>
      <c r="Q9" s="3">
        <f t="shared" ca="1" si="0"/>
        <v>1572.5719999999999</v>
      </c>
      <c r="R9" s="3">
        <f t="shared" ca="1" si="0"/>
        <v>1571.9580000000001</v>
      </c>
      <c r="S9" s="3">
        <f t="shared" ca="1" si="0"/>
        <v>1571.8240000000001</v>
      </c>
      <c r="T9" s="3">
        <f t="shared" ca="1" si="0"/>
        <v>1572.9280000000001</v>
      </c>
      <c r="U9" s="3">
        <f t="shared" ca="1" si="0"/>
        <v>1576.4369999999999</v>
      </c>
      <c r="W9" s="3">
        <f t="shared" ca="1" si="3"/>
        <v>1573.2836000000002</v>
      </c>
      <c r="Y9" s="3">
        <f ca="1">Total!E9</f>
        <v>1570.17</v>
      </c>
      <c r="AB9" s="3">
        <f t="shared" ca="1" si="1"/>
        <v>1.5985530229210791E-3</v>
      </c>
      <c r="AC9" s="3">
        <f t="shared" ca="1" si="1"/>
        <v>2.1328900692281299E-3</v>
      </c>
      <c r="AD9" s="3">
        <f t="shared" ca="1" si="1"/>
        <v>2.0290796537953989E-3</v>
      </c>
      <c r="AE9" s="3">
        <f t="shared" ca="1" si="1"/>
        <v>2.7404675926809732E-3</v>
      </c>
      <c r="AF9" s="3">
        <f t="shared" ca="1" si="1"/>
        <v>1.8590343720742779E-3</v>
      </c>
      <c r="AG9" s="3">
        <f t="shared" ca="1" si="1"/>
        <v>1.5297706617753595E-3</v>
      </c>
      <c r="AH9" s="3">
        <f t="shared" ca="1" si="1"/>
        <v>1.1387302011884133E-3</v>
      </c>
      <c r="AI9" s="3">
        <f t="shared" ca="1" si="1"/>
        <v>1.0533891234707046E-3</v>
      </c>
      <c r="AJ9" s="3">
        <f t="shared" ca="1" si="1"/>
        <v>1.7564977040702842E-3</v>
      </c>
      <c r="AK9" s="3">
        <f t="shared" ca="1" si="1"/>
        <v>3.9912875675881115E-3</v>
      </c>
      <c r="AM9" s="3">
        <f t="shared" ca="1" si="4"/>
        <v>1.9829699968792733E-2</v>
      </c>
    </row>
    <row r="10" spans="1:39" x14ac:dyDescent="0.25">
      <c r="A10" s="3" t="s">
        <v>2</v>
      </c>
      <c r="B10" s="3">
        <v>24</v>
      </c>
      <c r="C10" s="3">
        <v>1</v>
      </c>
      <c r="D10" s="3">
        <v>55948.203999999998</v>
      </c>
      <c r="E10" s="3">
        <v>1.2370000000000001</v>
      </c>
      <c r="F10" s="3">
        <v>151</v>
      </c>
      <c r="H10" s="3" t="s">
        <v>28</v>
      </c>
      <c r="I10" s="3">
        <v>100</v>
      </c>
      <c r="J10" s="3">
        <v>1</v>
      </c>
      <c r="L10" s="3">
        <f t="shared" ca="1" si="2"/>
        <v>3292.64</v>
      </c>
      <c r="M10" s="3">
        <f t="shared" ca="1" si="0"/>
        <v>3297.1880000000001</v>
      </c>
      <c r="N10" s="3">
        <f t="shared" ca="1" si="0"/>
        <v>3298.02</v>
      </c>
      <c r="O10" s="3">
        <f t="shared" ca="1" si="0"/>
        <v>3298.7020000000002</v>
      </c>
      <c r="P10" s="3">
        <f t="shared" ca="1" si="0"/>
        <v>3294.1669999999999</v>
      </c>
      <c r="Q10" s="3">
        <f t="shared" ca="1" si="0"/>
        <v>3292.69</v>
      </c>
      <c r="R10" s="3">
        <f t="shared" ca="1" si="0"/>
        <v>3297.2840000000001</v>
      </c>
      <c r="S10" s="3">
        <f t="shared" ca="1" si="0"/>
        <v>3291.643</v>
      </c>
      <c r="T10" s="3">
        <f t="shared" ca="1" si="0"/>
        <v>3292.9929999999999</v>
      </c>
      <c r="U10" s="3">
        <f t="shared" ca="1" si="0"/>
        <v>3292.7739999999999</v>
      </c>
      <c r="W10" s="3">
        <f t="shared" ca="1" si="3"/>
        <v>3294.8100999999997</v>
      </c>
      <c r="Y10" s="3">
        <f ca="1">Total!E10</f>
        <v>3290.5340000000001</v>
      </c>
      <c r="AB10" s="3">
        <f t="shared" ca="1" si="1"/>
        <v>6.4001769925482223E-4</v>
      </c>
      <c r="AC10" s="3">
        <f t="shared" ca="1" si="1"/>
        <v>2.0221641836856864E-3</v>
      </c>
      <c r="AD10" s="3">
        <f t="shared" ca="1" si="1"/>
        <v>2.2750106821567188E-3</v>
      </c>
      <c r="AE10" s="3">
        <f t="shared" ca="1" si="1"/>
        <v>2.4822718744131255E-3</v>
      </c>
      <c r="AF10" s="3">
        <f t="shared" ca="1" si="1"/>
        <v>1.1040761165208475E-3</v>
      </c>
      <c r="AG10" s="3">
        <f t="shared" ca="1" si="1"/>
        <v>6.5521280132645611E-4</v>
      </c>
      <c r="AH10" s="3">
        <f t="shared" ca="1" si="1"/>
        <v>2.0513387796631186E-3</v>
      </c>
      <c r="AI10" s="3">
        <f t="shared" ca="1" si="1"/>
        <v>3.3702736394759135E-4</v>
      </c>
      <c r="AJ10" s="3">
        <f t="shared" ca="1" si="1"/>
        <v>7.4729511988018741E-4</v>
      </c>
      <c r="AK10" s="3">
        <f t="shared" ca="1" si="1"/>
        <v>6.8074057280665746E-4</v>
      </c>
      <c r="AM10" s="3">
        <f t="shared" ca="1" si="4"/>
        <v>1.2995155193655209E-2</v>
      </c>
    </row>
    <row r="11" spans="1:39" x14ac:dyDescent="0.25">
      <c r="A11" s="3" t="s">
        <v>2</v>
      </c>
      <c r="B11" s="3">
        <v>47</v>
      </c>
      <c r="C11" s="3">
        <v>1</v>
      </c>
      <c r="D11" s="3">
        <v>126254.254</v>
      </c>
      <c r="E11" s="3">
        <v>4.1440000000000001</v>
      </c>
      <c r="F11" s="3">
        <v>149</v>
      </c>
    </row>
    <row r="12" spans="1:39" x14ac:dyDescent="0.25">
      <c r="A12" s="3" t="s">
        <v>2</v>
      </c>
      <c r="B12" s="3">
        <v>47</v>
      </c>
      <c r="C12" s="3">
        <v>1</v>
      </c>
      <c r="D12" s="3">
        <v>126199.183</v>
      </c>
      <c r="E12" s="3">
        <v>4.1470000000000002</v>
      </c>
      <c r="F12" s="3">
        <v>155</v>
      </c>
    </row>
    <row r="13" spans="1:39" x14ac:dyDescent="0.25">
      <c r="A13" s="3" t="s">
        <v>2</v>
      </c>
      <c r="B13" s="3">
        <v>47</v>
      </c>
      <c r="C13" s="3">
        <v>1</v>
      </c>
      <c r="D13" s="3">
        <v>126297.713</v>
      </c>
      <c r="E13" s="3">
        <v>4.1440000000000001</v>
      </c>
      <c r="F13" s="3">
        <v>155</v>
      </c>
    </row>
    <row r="14" spans="1:39" x14ac:dyDescent="0.25">
      <c r="A14" s="3" t="s">
        <v>2</v>
      </c>
      <c r="B14" s="3">
        <v>47</v>
      </c>
      <c r="C14" s="3">
        <v>1</v>
      </c>
      <c r="D14" s="3">
        <v>126340.338</v>
      </c>
      <c r="E14" s="3">
        <v>4.1470000000000002</v>
      </c>
      <c r="F14" s="3">
        <v>149</v>
      </c>
    </row>
    <row r="15" spans="1:39" x14ac:dyDescent="0.25">
      <c r="A15" s="3" t="s">
        <v>2</v>
      </c>
      <c r="B15" s="3">
        <v>47</v>
      </c>
      <c r="C15" s="3">
        <v>1</v>
      </c>
      <c r="D15" s="3">
        <v>126206.651</v>
      </c>
      <c r="E15" s="3">
        <v>4.1479999999999997</v>
      </c>
      <c r="F15" s="3">
        <v>155</v>
      </c>
    </row>
    <row r="16" spans="1:39" x14ac:dyDescent="0.25">
      <c r="A16" s="3" t="s">
        <v>2</v>
      </c>
      <c r="B16" s="3">
        <v>47</v>
      </c>
      <c r="C16" s="3">
        <v>1</v>
      </c>
      <c r="D16" s="3">
        <v>126438.822</v>
      </c>
      <c r="E16" s="3">
        <v>4.1509999999999998</v>
      </c>
      <c r="F16" s="3">
        <v>151</v>
      </c>
    </row>
    <row r="17" spans="1:6" x14ac:dyDescent="0.25">
      <c r="A17" s="3" t="s">
        <v>2</v>
      </c>
      <c r="B17" s="3">
        <v>47</v>
      </c>
      <c r="C17" s="3">
        <v>1</v>
      </c>
      <c r="D17" s="3">
        <v>126403.323</v>
      </c>
      <c r="E17" s="3">
        <v>4.16</v>
      </c>
      <c r="F17" s="3">
        <v>151</v>
      </c>
    </row>
    <row r="18" spans="1:6" x14ac:dyDescent="0.25">
      <c r="A18" s="3" t="s">
        <v>2</v>
      </c>
      <c r="B18" s="3">
        <v>47</v>
      </c>
      <c r="C18" s="3">
        <v>1</v>
      </c>
      <c r="D18" s="3">
        <v>126265.783</v>
      </c>
      <c r="E18" s="3">
        <v>4.1399999999999997</v>
      </c>
      <c r="F18" s="3">
        <v>149</v>
      </c>
    </row>
    <row r="19" spans="1:6" x14ac:dyDescent="0.25">
      <c r="A19" s="3" t="s">
        <v>2</v>
      </c>
      <c r="B19" s="3">
        <v>47</v>
      </c>
      <c r="C19" s="3">
        <v>1</v>
      </c>
      <c r="D19" s="3">
        <v>126216.658</v>
      </c>
      <c r="E19" s="3">
        <v>4.149</v>
      </c>
      <c r="F19" s="3">
        <v>151</v>
      </c>
    </row>
    <row r="20" spans="1:6" x14ac:dyDescent="0.25">
      <c r="A20" s="3" t="s">
        <v>2</v>
      </c>
      <c r="B20" s="3">
        <v>47</v>
      </c>
      <c r="C20" s="3">
        <v>1</v>
      </c>
      <c r="D20" s="3">
        <v>126318.245</v>
      </c>
      <c r="E20" s="3">
        <v>4.1440000000000001</v>
      </c>
      <c r="F20" s="3">
        <v>147</v>
      </c>
    </row>
    <row r="21" spans="1:6" x14ac:dyDescent="0.25">
      <c r="A21" s="3" t="s">
        <v>2</v>
      </c>
      <c r="B21" s="3">
        <v>100</v>
      </c>
      <c r="C21" s="3">
        <v>1</v>
      </c>
      <c r="D21" s="3">
        <v>1217800.959</v>
      </c>
      <c r="E21" s="3">
        <v>22.087</v>
      </c>
      <c r="F21" s="3">
        <v>159</v>
      </c>
    </row>
    <row r="22" spans="1:6" x14ac:dyDescent="0.25">
      <c r="A22" s="3" t="s">
        <v>2</v>
      </c>
      <c r="B22" s="3">
        <v>100</v>
      </c>
      <c r="C22" s="3">
        <v>1</v>
      </c>
      <c r="D22" s="3">
        <v>1217190.8230000001</v>
      </c>
      <c r="E22" s="3">
        <v>22.085999999999999</v>
      </c>
      <c r="F22" s="3">
        <v>155</v>
      </c>
    </row>
    <row r="23" spans="1:6" x14ac:dyDescent="0.25">
      <c r="A23" s="3" t="s">
        <v>2</v>
      </c>
      <c r="B23" s="3">
        <v>100</v>
      </c>
      <c r="C23" s="3">
        <v>1</v>
      </c>
      <c r="D23" s="3">
        <v>1217302.6189999999</v>
      </c>
      <c r="E23" s="3">
        <v>22.097000000000001</v>
      </c>
      <c r="F23" s="3">
        <v>158</v>
      </c>
    </row>
    <row r="24" spans="1:6" x14ac:dyDescent="0.25">
      <c r="A24" s="3" t="s">
        <v>2</v>
      </c>
      <c r="B24" s="3">
        <v>100</v>
      </c>
      <c r="C24" s="3">
        <v>1</v>
      </c>
      <c r="D24" s="3">
        <v>1216632.2350000001</v>
      </c>
      <c r="E24" s="3">
        <v>22.108000000000001</v>
      </c>
      <c r="F24" s="3">
        <v>159</v>
      </c>
    </row>
    <row r="25" spans="1:6" x14ac:dyDescent="0.25">
      <c r="A25" s="3" t="s">
        <v>2</v>
      </c>
      <c r="B25" s="3">
        <v>100</v>
      </c>
      <c r="C25" s="3">
        <v>1</v>
      </c>
      <c r="D25" s="3">
        <v>1216931.074</v>
      </c>
      <c r="E25" s="3">
        <v>22.116</v>
      </c>
      <c r="F25" s="3">
        <v>160</v>
      </c>
    </row>
    <row r="26" spans="1:6" x14ac:dyDescent="0.25">
      <c r="A26" s="3" t="s">
        <v>2</v>
      </c>
      <c r="B26" s="3">
        <v>100</v>
      </c>
      <c r="C26" s="3">
        <v>1</v>
      </c>
      <c r="D26" s="3">
        <v>1217232.129</v>
      </c>
      <c r="E26" s="3">
        <v>22.126999999999999</v>
      </c>
      <c r="F26" s="3">
        <v>158</v>
      </c>
    </row>
    <row r="27" spans="1:6" x14ac:dyDescent="0.25">
      <c r="A27" s="3" t="s">
        <v>2</v>
      </c>
      <c r="B27" s="3">
        <v>100</v>
      </c>
      <c r="C27" s="3">
        <v>1</v>
      </c>
      <c r="D27" s="3">
        <v>1217507.1159999999</v>
      </c>
      <c r="E27" s="3">
        <v>22.143000000000001</v>
      </c>
      <c r="F27" s="3">
        <v>159</v>
      </c>
    </row>
    <row r="28" spans="1:6" x14ac:dyDescent="0.25">
      <c r="A28" s="3" t="s">
        <v>2</v>
      </c>
      <c r="B28" s="3">
        <v>100</v>
      </c>
      <c r="C28" s="3">
        <v>1</v>
      </c>
      <c r="D28" s="3">
        <v>1216866.9850000001</v>
      </c>
      <c r="E28" s="3">
        <v>22.058</v>
      </c>
      <c r="F28" s="3">
        <v>157</v>
      </c>
    </row>
    <row r="29" spans="1:6" x14ac:dyDescent="0.25">
      <c r="A29" s="3" t="s">
        <v>2</v>
      </c>
      <c r="B29" s="3">
        <v>100</v>
      </c>
      <c r="C29" s="3">
        <v>1</v>
      </c>
      <c r="D29" s="3">
        <v>1216990.3559999999</v>
      </c>
      <c r="E29" s="3">
        <v>22.151</v>
      </c>
      <c r="F29" s="3">
        <v>162</v>
      </c>
    </row>
    <row r="30" spans="1:6" x14ac:dyDescent="0.25">
      <c r="A30" s="3" t="s">
        <v>2</v>
      </c>
      <c r="B30" s="3">
        <v>100</v>
      </c>
      <c r="C30" s="3">
        <v>1</v>
      </c>
      <c r="D30" s="3">
        <v>1216716.1540000001</v>
      </c>
      <c r="E30" s="3">
        <v>22.062999999999999</v>
      </c>
      <c r="F30" s="3">
        <v>159</v>
      </c>
    </row>
    <row r="31" spans="1:6" x14ac:dyDescent="0.25">
      <c r="A31" s="3" t="s">
        <v>1</v>
      </c>
      <c r="B31" s="3">
        <v>30</v>
      </c>
      <c r="C31" s="3">
        <v>1</v>
      </c>
      <c r="D31" s="3">
        <v>20045.972000000002</v>
      </c>
      <c r="E31" s="3">
        <v>1.3520000000000001</v>
      </c>
      <c r="F31" s="3">
        <v>111</v>
      </c>
    </row>
    <row r="32" spans="1:6" x14ac:dyDescent="0.25">
      <c r="A32" s="3" t="s">
        <v>1</v>
      </c>
      <c r="B32" s="3">
        <v>30</v>
      </c>
      <c r="C32" s="3">
        <v>1</v>
      </c>
      <c r="D32" s="3">
        <v>20049.677</v>
      </c>
      <c r="E32" s="3">
        <v>1.353</v>
      </c>
      <c r="F32" s="3">
        <v>98</v>
      </c>
    </row>
    <row r="33" spans="1:6" x14ac:dyDescent="0.25">
      <c r="A33" s="3" t="s">
        <v>1</v>
      </c>
      <c r="B33" s="3">
        <v>30</v>
      </c>
      <c r="C33" s="3">
        <v>1</v>
      </c>
      <c r="D33" s="3">
        <v>19985.637999999999</v>
      </c>
      <c r="E33" s="3">
        <v>1.349</v>
      </c>
      <c r="F33" s="3">
        <v>115</v>
      </c>
    </row>
    <row r="34" spans="1:6" x14ac:dyDescent="0.25">
      <c r="A34" s="3" t="s">
        <v>1</v>
      </c>
      <c r="B34" s="3">
        <v>30</v>
      </c>
      <c r="C34" s="3">
        <v>1</v>
      </c>
      <c r="D34" s="3">
        <v>20044.361000000001</v>
      </c>
      <c r="E34" s="3">
        <v>1.35</v>
      </c>
      <c r="F34" s="3">
        <v>109</v>
      </c>
    </row>
    <row r="35" spans="1:6" x14ac:dyDescent="0.25">
      <c r="A35" s="3" t="s">
        <v>1</v>
      </c>
      <c r="B35" s="3">
        <v>30</v>
      </c>
      <c r="C35" s="3">
        <v>1</v>
      </c>
      <c r="D35" s="3">
        <v>20041.032999999999</v>
      </c>
      <c r="E35" s="3">
        <v>1.353</v>
      </c>
      <c r="F35" s="3">
        <v>99</v>
      </c>
    </row>
    <row r="36" spans="1:6" x14ac:dyDescent="0.25">
      <c r="A36" s="3" t="s">
        <v>1</v>
      </c>
      <c r="B36" s="3">
        <v>30</v>
      </c>
      <c r="C36" s="3">
        <v>1</v>
      </c>
      <c r="D36" s="3">
        <v>20016.87</v>
      </c>
      <c r="E36" s="3">
        <v>1.349</v>
      </c>
      <c r="F36" s="3">
        <v>103</v>
      </c>
    </row>
    <row r="37" spans="1:6" x14ac:dyDescent="0.25">
      <c r="A37" s="3" t="s">
        <v>1</v>
      </c>
      <c r="B37" s="3">
        <v>30</v>
      </c>
      <c r="C37" s="3">
        <v>1</v>
      </c>
      <c r="D37" s="3">
        <v>20023.059000000001</v>
      </c>
      <c r="E37" s="3">
        <v>1.3460000000000001</v>
      </c>
      <c r="F37" s="3">
        <v>112</v>
      </c>
    </row>
    <row r="38" spans="1:6" x14ac:dyDescent="0.25">
      <c r="A38" s="3" t="s">
        <v>1</v>
      </c>
      <c r="B38" s="3">
        <v>30</v>
      </c>
      <c r="C38" s="3">
        <v>1</v>
      </c>
      <c r="D38" s="3">
        <v>20078.518</v>
      </c>
      <c r="E38" s="3">
        <v>1.347</v>
      </c>
      <c r="F38" s="3">
        <v>106</v>
      </c>
    </row>
    <row r="39" spans="1:6" x14ac:dyDescent="0.25">
      <c r="A39" s="3" t="s">
        <v>1</v>
      </c>
      <c r="B39" s="3">
        <v>30</v>
      </c>
      <c r="C39" s="3">
        <v>1</v>
      </c>
      <c r="D39" s="3">
        <v>20003.427</v>
      </c>
      <c r="E39" s="3">
        <v>1.355</v>
      </c>
      <c r="F39" s="3">
        <v>107</v>
      </c>
    </row>
    <row r="40" spans="1:6" x14ac:dyDescent="0.25">
      <c r="A40" s="3" t="s">
        <v>1</v>
      </c>
      <c r="B40" s="3">
        <v>30</v>
      </c>
      <c r="C40" s="3">
        <v>1</v>
      </c>
      <c r="D40" s="3">
        <v>19996.873</v>
      </c>
      <c r="E40" s="3">
        <v>1.3560000000000001</v>
      </c>
      <c r="F40" s="3">
        <v>110</v>
      </c>
    </row>
    <row r="41" spans="1:6" x14ac:dyDescent="0.25">
      <c r="A41" s="3" t="s">
        <v>1</v>
      </c>
      <c r="B41" s="3">
        <v>50</v>
      </c>
      <c r="C41" s="3">
        <v>1</v>
      </c>
      <c r="D41" s="3">
        <v>35360.239000000001</v>
      </c>
      <c r="E41" s="3">
        <v>3.032</v>
      </c>
      <c r="F41" s="3">
        <v>96</v>
      </c>
    </row>
    <row r="42" spans="1:6" x14ac:dyDescent="0.25">
      <c r="A42" s="3" t="s">
        <v>1</v>
      </c>
      <c r="B42" s="3">
        <v>50</v>
      </c>
      <c r="C42" s="3">
        <v>1</v>
      </c>
      <c r="D42" s="3">
        <v>35397.002</v>
      </c>
      <c r="E42" s="3">
        <v>3.0449999999999999</v>
      </c>
      <c r="F42" s="3">
        <v>96</v>
      </c>
    </row>
    <row r="43" spans="1:6" x14ac:dyDescent="0.25">
      <c r="A43" s="3" t="s">
        <v>1</v>
      </c>
      <c r="B43" s="3">
        <v>50</v>
      </c>
      <c r="C43" s="3">
        <v>1</v>
      </c>
      <c r="D43" s="3">
        <v>35506.966</v>
      </c>
      <c r="E43" s="3">
        <v>3.0459999999999998</v>
      </c>
      <c r="F43" s="3">
        <v>97</v>
      </c>
    </row>
    <row r="44" spans="1:6" x14ac:dyDescent="0.25">
      <c r="A44" s="3" t="s">
        <v>1</v>
      </c>
      <c r="B44" s="3">
        <v>50</v>
      </c>
      <c r="C44" s="3">
        <v>1</v>
      </c>
      <c r="D44" s="3">
        <v>35350.752</v>
      </c>
      <c r="E44" s="3">
        <v>3.0470000000000002</v>
      </c>
      <c r="F44" s="3">
        <v>96</v>
      </c>
    </row>
    <row r="45" spans="1:6" x14ac:dyDescent="0.25">
      <c r="A45" s="3" t="s">
        <v>1</v>
      </c>
      <c r="B45" s="3">
        <v>50</v>
      </c>
      <c r="C45" s="3">
        <v>1</v>
      </c>
      <c r="D45" s="3">
        <v>35466.546999999999</v>
      </c>
      <c r="E45" s="3">
        <v>3.0369999999999999</v>
      </c>
      <c r="F45" s="3">
        <v>98</v>
      </c>
    </row>
    <row r="46" spans="1:6" x14ac:dyDescent="0.25">
      <c r="A46" s="3" t="s">
        <v>1</v>
      </c>
      <c r="B46" s="3">
        <v>50</v>
      </c>
      <c r="C46" s="3">
        <v>1</v>
      </c>
      <c r="D46" s="3">
        <v>35429.620999999999</v>
      </c>
      <c r="E46" s="3">
        <v>3.0369999999999999</v>
      </c>
      <c r="F46" s="3">
        <v>96</v>
      </c>
    </row>
    <row r="47" spans="1:6" x14ac:dyDescent="0.25">
      <c r="A47" s="3" t="s">
        <v>1</v>
      </c>
      <c r="B47" s="3">
        <v>50</v>
      </c>
      <c r="C47" s="3">
        <v>1</v>
      </c>
      <c r="D47" s="3">
        <v>35407.802000000003</v>
      </c>
      <c r="E47" s="3">
        <v>3.036</v>
      </c>
      <c r="F47" s="3">
        <v>93</v>
      </c>
    </row>
    <row r="48" spans="1:6" x14ac:dyDescent="0.25">
      <c r="A48" s="3" t="s">
        <v>1</v>
      </c>
      <c r="B48" s="3">
        <v>50</v>
      </c>
      <c r="C48" s="3">
        <v>1</v>
      </c>
      <c r="D48" s="3">
        <v>35404.720000000001</v>
      </c>
      <c r="E48" s="3">
        <v>3.0430000000000001</v>
      </c>
      <c r="F48" s="3">
        <v>94</v>
      </c>
    </row>
    <row r="49" spans="1:6" x14ac:dyDescent="0.25">
      <c r="A49" s="3" t="s">
        <v>1</v>
      </c>
      <c r="B49" s="3">
        <v>50</v>
      </c>
      <c r="C49" s="3">
        <v>1</v>
      </c>
      <c r="D49" s="3">
        <v>35429.053999999996</v>
      </c>
      <c r="E49" s="3">
        <v>3.0470000000000002</v>
      </c>
      <c r="F49" s="3">
        <v>98</v>
      </c>
    </row>
    <row r="50" spans="1:6" x14ac:dyDescent="0.25">
      <c r="A50" s="3" t="s">
        <v>1</v>
      </c>
      <c r="B50" s="3">
        <v>50</v>
      </c>
      <c r="C50" s="3">
        <v>1</v>
      </c>
      <c r="D50" s="3">
        <v>35378.06</v>
      </c>
      <c r="E50" s="3">
        <v>3.0350000000000001</v>
      </c>
      <c r="F50" s="3">
        <v>95</v>
      </c>
    </row>
    <row r="51" spans="1:6" x14ac:dyDescent="0.25">
      <c r="A51" s="3" t="s">
        <v>1</v>
      </c>
      <c r="B51" s="3">
        <v>100</v>
      </c>
      <c r="C51" s="3">
        <v>1</v>
      </c>
      <c r="D51" s="3">
        <v>63096.428</v>
      </c>
      <c r="E51" s="3">
        <v>11.769</v>
      </c>
      <c r="F51" s="3">
        <v>88</v>
      </c>
    </row>
    <row r="52" spans="1:6" x14ac:dyDescent="0.25">
      <c r="A52" s="3" t="s">
        <v>1</v>
      </c>
      <c r="B52" s="3">
        <v>100</v>
      </c>
      <c r="C52" s="3">
        <v>1</v>
      </c>
      <c r="D52" s="3">
        <v>63109.775999999998</v>
      </c>
      <c r="E52" s="3">
        <v>11.704000000000001</v>
      </c>
      <c r="F52" s="3">
        <v>88</v>
      </c>
    </row>
    <row r="53" spans="1:6" x14ac:dyDescent="0.25">
      <c r="A53" s="3" t="s">
        <v>1</v>
      </c>
      <c r="B53" s="3">
        <v>100</v>
      </c>
      <c r="C53" s="3">
        <v>1</v>
      </c>
      <c r="D53" s="3">
        <v>63179.02</v>
      </c>
      <c r="E53" s="3">
        <v>11.768000000000001</v>
      </c>
      <c r="F53" s="3">
        <v>89</v>
      </c>
    </row>
    <row r="54" spans="1:6" x14ac:dyDescent="0.25">
      <c r="A54" s="3" t="s">
        <v>1</v>
      </c>
      <c r="B54" s="3">
        <v>100</v>
      </c>
      <c r="C54" s="3">
        <v>1</v>
      </c>
      <c r="D54" s="3">
        <v>63246.199000000001</v>
      </c>
      <c r="E54" s="3">
        <v>11.7</v>
      </c>
      <c r="F54" s="3">
        <v>88</v>
      </c>
    </row>
    <row r="55" spans="1:6" x14ac:dyDescent="0.25">
      <c r="A55" s="3" t="s">
        <v>1</v>
      </c>
      <c r="B55" s="3">
        <v>100</v>
      </c>
      <c r="C55" s="3">
        <v>1</v>
      </c>
      <c r="D55" s="3">
        <v>63154.110999999997</v>
      </c>
      <c r="E55" s="3">
        <v>11.694000000000001</v>
      </c>
      <c r="F55" s="3">
        <v>88</v>
      </c>
    </row>
    <row r="56" spans="1:6" x14ac:dyDescent="0.25">
      <c r="A56" s="3" t="s">
        <v>1</v>
      </c>
      <c r="B56" s="3">
        <v>100</v>
      </c>
      <c r="C56" s="3">
        <v>1</v>
      </c>
      <c r="D56" s="3">
        <v>63119.817999999999</v>
      </c>
      <c r="E56" s="3">
        <v>11.685</v>
      </c>
      <c r="F56" s="3">
        <v>87</v>
      </c>
    </row>
    <row r="57" spans="1:6" x14ac:dyDescent="0.25">
      <c r="A57" s="3" t="s">
        <v>1</v>
      </c>
      <c r="B57" s="3">
        <v>100</v>
      </c>
      <c r="C57" s="3">
        <v>1</v>
      </c>
      <c r="D57" s="3">
        <v>63195.822</v>
      </c>
      <c r="E57" s="3">
        <v>11.702999999999999</v>
      </c>
      <c r="F57" s="3">
        <v>89</v>
      </c>
    </row>
    <row r="58" spans="1:6" x14ac:dyDescent="0.25">
      <c r="A58" s="3" t="s">
        <v>1</v>
      </c>
      <c r="B58" s="3">
        <v>100</v>
      </c>
      <c r="C58" s="3">
        <v>1</v>
      </c>
      <c r="D58" s="3">
        <v>63214.237000000001</v>
      </c>
      <c r="E58" s="3">
        <v>11.68</v>
      </c>
      <c r="F58" s="3">
        <v>88</v>
      </c>
    </row>
    <row r="59" spans="1:6" x14ac:dyDescent="0.25">
      <c r="A59" s="3" t="s">
        <v>1</v>
      </c>
      <c r="B59" s="3">
        <v>100</v>
      </c>
      <c r="C59" s="3">
        <v>1</v>
      </c>
      <c r="D59" s="3">
        <v>63119.970999999998</v>
      </c>
      <c r="E59" s="3">
        <v>11.766</v>
      </c>
      <c r="F59" s="3">
        <v>88</v>
      </c>
    </row>
    <row r="60" spans="1:6" x14ac:dyDescent="0.25">
      <c r="A60" s="3" t="s">
        <v>1</v>
      </c>
      <c r="B60" s="3">
        <v>100</v>
      </c>
      <c r="C60" s="3">
        <v>1</v>
      </c>
      <c r="D60" s="3">
        <v>63256.777000000002</v>
      </c>
      <c r="E60" s="3">
        <v>11.718999999999999</v>
      </c>
      <c r="F60" s="3">
        <v>87</v>
      </c>
    </row>
    <row r="61" spans="1:6" x14ac:dyDescent="0.25">
      <c r="A61" s="3" t="s">
        <v>0</v>
      </c>
      <c r="B61" s="3">
        <v>25</v>
      </c>
      <c r="C61" s="3">
        <v>1</v>
      </c>
      <c r="D61" s="3">
        <v>724.01099999999997</v>
      </c>
      <c r="E61" s="3">
        <v>0.90400000000000003</v>
      </c>
      <c r="F61" s="3">
        <v>91</v>
      </c>
    </row>
    <row r="62" spans="1:6" x14ac:dyDescent="0.25">
      <c r="A62" s="3" t="s">
        <v>0</v>
      </c>
      <c r="B62" s="3">
        <v>25</v>
      </c>
      <c r="C62" s="3">
        <v>1</v>
      </c>
      <c r="D62" s="3">
        <v>723.41600000000005</v>
      </c>
      <c r="E62" s="3">
        <v>0.90200000000000002</v>
      </c>
      <c r="F62" s="3">
        <v>106</v>
      </c>
    </row>
    <row r="63" spans="1:6" x14ac:dyDescent="0.25">
      <c r="A63" s="3" t="s">
        <v>0</v>
      </c>
      <c r="B63" s="3">
        <v>25</v>
      </c>
      <c r="C63" s="3">
        <v>1</v>
      </c>
      <c r="D63" s="3">
        <v>723.15700000000004</v>
      </c>
      <c r="E63" s="3">
        <v>0.90400000000000003</v>
      </c>
      <c r="F63" s="3">
        <v>90</v>
      </c>
    </row>
    <row r="64" spans="1:6" x14ac:dyDescent="0.25">
      <c r="A64" s="3" t="s">
        <v>0</v>
      </c>
      <c r="B64" s="3">
        <v>25</v>
      </c>
      <c r="C64" s="3">
        <v>1</v>
      </c>
      <c r="D64" s="3">
        <v>723.53300000000002</v>
      </c>
      <c r="E64" s="3">
        <v>0.90300000000000002</v>
      </c>
      <c r="F64" s="3">
        <v>100</v>
      </c>
    </row>
    <row r="65" spans="1:6" x14ac:dyDescent="0.25">
      <c r="A65" s="3" t="s">
        <v>0</v>
      </c>
      <c r="B65" s="3">
        <v>25</v>
      </c>
      <c r="C65" s="3">
        <v>1</v>
      </c>
      <c r="D65" s="3">
        <v>723.774</v>
      </c>
      <c r="E65" s="3">
        <v>0.90400000000000003</v>
      </c>
      <c r="F65" s="3">
        <v>91</v>
      </c>
    </row>
    <row r="66" spans="1:6" x14ac:dyDescent="0.25">
      <c r="A66" s="3" t="s">
        <v>0</v>
      </c>
      <c r="B66" s="3">
        <v>25</v>
      </c>
      <c r="C66" s="3">
        <v>1</v>
      </c>
      <c r="D66" s="3">
        <v>723.87599999999998</v>
      </c>
      <c r="E66" s="3">
        <v>0.90100000000000002</v>
      </c>
      <c r="F66" s="3">
        <v>104</v>
      </c>
    </row>
    <row r="67" spans="1:6" x14ac:dyDescent="0.25">
      <c r="A67" s="3" t="s">
        <v>0</v>
      </c>
      <c r="B67" s="3">
        <v>25</v>
      </c>
      <c r="C67" s="3">
        <v>1</v>
      </c>
      <c r="D67" s="3">
        <v>723.77700000000004</v>
      </c>
      <c r="E67" s="3">
        <v>0.90700000000000003</v>
      </c>
      <c r="F67" s="3">
        <v>93</v>
      </c>
    </row>
    <row r="68" spans="1:6" x14ac:dyDescent="0.25">
      <c r="A68" s="3" t="s">
        <v>0</v>
      </c>
      <c r="B68" s="3">
        <v>25</v>
      </c>
      <c r="C68" s="3">
        <v>1</v>
      </c>
      <c r="D68" s="3">
        <v>723.73500000000001</v>
      </c>
      <c r="E68" s="3">
        <v>0.90500000000000003</v>
      </c>
      <c r="F68" s="3">
        <v>103</v>
      </c>
    </row>
    <row r="69" spans="1:6" x14ac:dyDescent="0.25">
      <c r="A69" s="3" t="s">
        <v>0</v>
      </c>
      <c r="B69" s="3">
        <v>25</v>
      </c>
      <c r="C69" s="3">
        <v>1</v>
      </c>
      <c r="D69" s="3">
        <v>722.98400000000004</v>
      </c>
      <c r="E69" s="3">
        <v>0.90300000000000002</v>
      </c>
      <c r="F69" s="3">
        <v>99</v>
      </c>
    </row>
    <row r="70" spans="1:6" x14ac:dyDescent="0.25">
      <c r="A70" s="3" t="s">
        <v>0</v>
      </c>
      <c r="B70" s="3">
        <v>25</v>
      </c>
      <c r="C70" s="3">
        <v>1</v>
      </c>
      <c r="D70" s="3">
        <v>723.22500000000002</v>
      </c>
      <c r="E70" s="3">
        <v>0.90800000000000003</v>
      </c>
      <c r="F70" s="3">
        <v>103</v>
      </c>
    </row>
    <row r="71" spans="1:6" x14ac:dyDescent="0.25">
      <c r="A71" s="3" t="s">
        <v>0</v>
      </c>
      <c r="B71" s="3">
        <v>50</v>
      </c>
      <c r="C71" s="3">
        <v>1</v>
      </c>
      <c r="D71" s="3">
        <v>1572.68</v>
      </c>
      <c r="E71" s="3">
        <v>3.39</v>
      </c>
      <c r="F71" s="3">
        <v>108</v>
      </c>
    </row>
    <row r="72" spans="1:6" x14ac:dyDescent="0.25">
      <c r="A72" s="3" t="s">
        <v>0</v>
      </c>
      <c r="B72" s="3">
        <v>50</v>
      </c>
      <c r="C72" s="3">
        <v>1</v>
      </c>
      <c r="D72" s="3">
        <v>1573.519</v>
      </c>
      <c r="E72" s="3">
        <v>3.3759999999999999</v>
      </c>
      <c r="F72" s="3">
        <v>110</v>
      </c>
    </row>
    <row r="73" spans="1:6" x14ac:dyDescent="0.25">
      <c r="A73" s="3" t="s">
        <v>0</v>
      </c>
      <c r="B73" s="3">
        <v>50</v>
      </c>
      <c r="C73" s="3">
        <v>1</v>
      </c>
      <c r="D73" s="3">
        <v>1573.356</v>
      </c>
      <c r="E73" s="3">
        <v>3.375</v>
      </c>
      <c r="F73" s="3">
        <v>109</v>
      </c>
    </row>
    <row r="74" spans="1:6" x14ac:dyDescent="0.25">
      <c r="A74" s="3" t="s">
        <v>0</v>
      </c>
      <c r="B74" s="3">
        <v>50</v>
      </c>
      <c r="C74" s="3">
        <v>1</v>
      </c>
      <c r="D74" s="3">
        <v>1574.473</v>
      </c>
      <c r="E74" s="3">
        <v>3.367</v>
      </c>
      <c r="F74" s="3">
        <v>106</v>
      </c>
    </row>
    <row r="75" spans="1:6" x14ac:dyDescent="0.25">
      <c r="A75" s="3" t="s">
        <v>0</v>
      </c>
      <c r="B75" s="3">
        <v>50</v>
      </c>
      <c r="C75" s="3">
        <v>1</v>
      </c>
      <c r="D75" s="3">
        <v>1573.0889999999999</v>
      </c>
      <c r="E75" s="3">
        <v>3.3769999999999998</v>
      </c>
      <c r="F75" s="3">
        <v>109</v>
      </c>
    </row>
    <row r="76" spans="1:6" x14ac:dyDescent="0.25">
      <c r="A76" s="3" t="s">
        <v>0</v>
      </c>
      <c r="B76" s="3">
        <v>50</v>
      </c>
      <c r="C76" s="3">
        <v>1</v>
      </c>
      <c r="D76" s="3">
        <v>1572.5719999999999</v>
      </c>
      <c r="E76" s="3">
        <v>3.3690000000000002</v>
      </c>
      <c r="F76" s="3">
        <v>106</v>
      </c>
    </row>
    <row r="77" spans="1:6" x14ac:dyDescent="0.25">
      <c r="A77" s="3" t="s">
        <v>0</v>
      </c>
      <c r="B77" s="3">
        <v>50</v>
      </c>
      <c r="C77" s="3">
        <v>1</v>
      </c>
      <c r="D77" s="3">
        <v>1571.9580000000001</v>
      </c>
      <c r="E77" s="3">
        <v>3.371</v>
      </c>
      <c r="F77" s="3">
        <v>103</v>
      </c>
    </row>
    <row r="78" spans="1:6" x14ac:dyDescent="0.25">
      <c r="A78" s="3" t="s">
        <v>0</v>
      </c>
      <c r="B78" s="3">
        <v>50</v>
      </c>
      <c r="C78" s="3">
        <v>1</v>
      </c>
      <c r="D78" s="3">
        <v>1571.8240000000001</v>
      </c>
      <c r="E78" s="3">
        <v>3.3849999999999998</v>
      </c>
      <c r="F78" s="3">
        <v>105</v>
      </c>
    </row>
    <row r="79" spans="1:6" x14ac:dyDescent="0.25">
      <c r="A79" s="3" t="s">
        <v>0</v>
      </c>
      <c r="B79" s="3">
        <v>50</v>
      </c>
      <c r="C79" s="3">
        <v>1</v>
      </c>
      <c r="D79" s="3">
        <v>1572.9280000000001</v>
      </c>
      <c r="E79" s="3">
        <v>3.387</v>
      </c>
      <c r="F79" s="3">
        <v>108</v>
      </c>
    </row>
    <row r="80" spans="1:6" x14ac:dyDescent="0.25">
      <c r="A80" s="3" t="s">
        <v>0</v>
      </c>
      <c r="B80" s="3">
        <v>50</v>
      </c>
      <c r="C80" s="3">
        <v>1</v>
      </c>
      <c r="D80" s="3">
        <v>1576.4369999999999</v>
      </c>
      <c r="E80" s="3">
        <v>3.37</v>
      </c>
      <c r="F80" s="3">
        <v>108</v>
      </c>
    </row>
    <row r="81" spans="1:6" x14ac:dyDescent="0.25">
      <c r="A81" s="3" t="s">
        <v>0</v>
      </c>
      <c r="B81" s="3">
        <v>100</v>
      </c>
      <c r="C81" s="3">
        <v>1</v>
      </c>
      <c r="D81" s="3">
        <v>3292.64</v>
      </c>
      <c r="E81" s="3">
        <v>11.355</v>
      </c>
      <c r="F81" s="3">
        <v>86</v>
      </c>
    </row>
    <row r="82" spans="1:6" x14ac:dyDescent="0.25">
      <c r="A82" s="3" t="s">
        <v>0</v>
      </c>
      <c r="B82" s="3">
        <v>100</v>
      </c>
      <c r="C82" s="3">
        <v>1</v>
      </c>
      <c r="D82" s="3">
        <v>3297.1880000000001</v>
      </c>
      <c r="E82" s="3">
        <v>11.308999999999999</v>
      </c>
      <c r="F82" s="3">
        <v>85</v>
      </c>
    </row>
    <row r="83" spans="1:6" x14ac:dyDescent="0.25">
      <c r="A83" s="3" t="s">
        <v>0</v>
      </c>
      <c r="B83" s="3">
        <v>100</v>
      </c>
      <c r="C83" s="3">
        <v>1</v>
      </c>
      <c r="D83" s="3">
        <v>3298.02</v>
      </c>
      <c r="E83" s="3">
        <v>11.381</v>
      </c>
      <c r="F83" s="3">
        <v>86</v>
      </c>
    </row>
    <row r="84" spans="1:6" x14ac:dyDescent="0.25">
      <c r="A84" s="3" t="s">
        <v>0</v>
      </c>
      <c r="B84" s="3">
        <v>100</v>
      </c>
      <c r="C84" s="3">
        <v>1</v>
      </c>
      <c r="D84" s="3">
        <v>3298.7020000000002</v>
      </c>
      <c r="E84" s="3">
        <v>11.345000000000001</v>
      </c>
      <c r="F84" s="3">
        <v>85</v>
      </c>
    </row>
    <row r="85" spans="1:6" x14ac:dyDescent="0.25">
      <c r="A85" s="3" t="s">
        <v>0</v>
      </c>
      <c r="B85" s="3">
        <v>100</v>
      </c>
      <c r="C85" s="3">
        <v>1</v>
      </c>
      <c r="D85" s="3">
        <v>3294.1669999999999</v>
      </c>
      <c r="E85" s="3">
        <v>11.346</v>
      </c>
      <c r="F85" s="3">
        <v>85</v>
      </c>
    </row>
    <row r="86" spans="1:6" x14ac:dyDescent="0.25">
      <c r="A86" s="3" t="s">
        <v>0</v>
      </c>
      <c r="B86" s="3">
        <v>100</v>
      </c>
      <c r="C86" s="3">
        <v>1</v>
      </c>
      <c r="D86" s="3">
        <v>3292.69</v>
      </c>
      <c r="E86" s="3">
        <v>11.433</v>
      </c>
      <c r="F86" s="3">
        <v>85</v>
      </c>
    </row>
    <row r="87" spans="1:6" x14ac:dyDescent="0.25">
      <c r="A87" s="3" t="s">
        <v>0</v>
      </c>
      <c r="B87" s="3">
        <v>100</v>
      </c>
      <c r="C87" s="3">
        <v>1</v>
      </c>
      <c r="D87" s="3">
        <v>3297.2840000000001</v>
      </c>
      <c r="E87" s="3">
        <v>11.372999999999999</v>
      </c>
      <c r="F87" s="3">
        <v>85</v>
      </c>
    </row>
    <row r="88" spans="1:6" x14ac:dyDescent="0.25">
      <c r="A88" s="3" t="s">
        <v>0</v>
      </c>
      <c r="B88" s="3">
        <v>100</v>
      </c>
      <c r="C88" s="3">
        <v>1</v>
      </c>
      <c r="D88" s="3">
        <v>3291.643</v>
      </c>
      <c r="E88" s="3">
        <v>11.433999999999999</v>
      </c>
      <c r="F88" s="3">
        <v>85</v>
      </c>
    </row>
    <row r="89" spans="1:6" x14ac:dyDescent="0.25">
      <c r="A89" s="3" t="s">
        <v>0</v>
      </c>
      <c r="B89" s="3">
        <v>100</v>
      </c>
      <c r="C89" s="3">
        <v>1</v>
      </c>
      <c r="D89" s="3">
        <v>3292.9929999999999</v>
      </c>
      <c r="E89" s="3">
        <v>11.324999999999999</v>
      </c>
      <c r="F89" s="3">
        <v>85</v>
      </c>
    </row>
    <row r="90" spans="1:6" x14ac:dyDescent="0.25">
      <c r="A90" s="3" t="s">
        <v>0</v>
      </c>
      <c r="B90" s="3">
        <v>100</v>
      </c>
      <c r="C90" s="3">
        <v>1</v>
      </c>
      <c r="D90" s="3">
        <v>3292.7739999999999</v>
      </c>
      <c r="E90" s="3">
        <v>11.4</v>
      </c>
      <c r="F90" s="3">
        <v>86</v>
      </c>
    </row>
  </sheetData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0"/>
  <sheetViews>
    <sheetView zoomScale="85" zoomScaleNormal="85" workbookViewId="0">
      <selection sqref="A1:F91"/>
    </sheetView>
  </sheetViews>
  <sheetFormatPr defaultColWidth="9" defaultRowHeight="15" x14ac:dyDescent="0.25"/>
  <cols>
    <col min="1" max="1" width="9.75" style="3" customWidth="1"/>
    <col min="2" max="2" width="4.375" style="3" bestFit="1" customWidth="1"/>
    <col min="3" max="3" width="2.625" style="3" bestFit="1" customWidth="1"/>
    <col min="4" max="4" width="10.375" style="3" customWidth="1"/>
    <col min="5" max="5" width="7" style="3" bestFit="1" customWidth="1"/>
    <col min="6" max="6" width="4.375" style="3" bestFit="1" customWidth="1"/>
    <col min="7" max="7" width="2.125" style="3" customWidth="1"/>
    <col min="8" max="8" width="9.75" style="3" customWidth="1"/>
    <col min="9" max="9" width="4.375" style="3" bestFit="1" customWidth="1"/>
    <col min="10" max="10" width="3.125" style="3" bestFit="1" customWidth="1"/>
    <col min="11" max="11" width="2.625" style="3" customWidth="1"/>
    <col min="12" max="21" width="9" style="3"/>
    <col min="22" max="22" width="2.5" style="3" customWidth="1"/>
    <col min="23" max="23" width="9" style="3"/>
    <col min="24" max="24" width="2.125" style="3" customWidth="1"/>
    <col min="25" max="25" width="9" style="3"/>
    <col min="26" max="26" width="2.375" style="3" customWidth="1"/>
    <col min="27" max="27" width="2.5" style="3" customWidth="1"/>
    <col min="28" max="37" width="9" style="3"/>
    <col min="38" max="38" width="5.625" style="3" customWidth="1"/>
    <col min="39" max="16384" width="9" style="3"/>
  </cols>
  <sheetData>
    <row r="1" spans="1:39" x14ac:dyDescent="0.25">
      <c r="A1" s="3" t="s">
        <v>2</v>
      </c>
      <c r="B1" s="3">
        <v>24</v>
      </c>
      <c r="C1" s="3">
        <v>1</v>
      </c>
      <c r="D1" s="3">
        <v>55989.487999999998</v>
      </c>
      <c r="E1" s="3">
        <v>1.2430000000000001</v>
      </c>
      <c r="F1" s="3">
        <v>114</v>
      </c>
      <c r="H1" s="5" t="s">
        <v>13</v>
      </c>
      <c r="I1" s="5" t="s">
        <v>14</v>
      </c>
      <c r="J1" s="5" t="s">
        <v>10</v>
      </c>
      <c r="K1" s="2"/>
      <c r="L1" s="2">
        <v>1</v>
      </c>
      <c r="M1" s="2">
        <v>2</v>
      </c>
      <c r="N1" s="2">
        <v>3</v>
      </c>
      <c r="O1" s="2">
        <v>4</v>
      </c>
      <c r="P1" s="2">
        <v>5</v>
      </c>
      <c r="Q1" s="2">
        <v>6</v>
      </c>
      <c r="R1" s="2">
        <v>7</v>
      </c>
      <c r="S1" s="2">
        <v>8</v>
      </c>
      <c r="T1" s="2">
        <v>9</v>
      </c>
      <c r="U1" s="2">
        <v>10</v>
      </c>
      <c r="W1" s="2" t="s">
        <v>11</v>
      </c>
      <c r="X1" s="2"/>
      <c r="Y1" s="2" t="s">
        <v>9</v>
      </c>
      <c r="Z1" s="2"/>
      <c r="AM1" s="5" t="s">
        <v>12</v>
      </c>
    </row>
    <row r="2" spans="1:39" x14ac:dyDescent="0.25">
      <c r="A2" s="3" t="s">
        <v>2</v>
      </c>
      <c r="B2" s="3">
        <v>24</v>
      </c>
      <c r="C2" s="3">
        <v>1</v>
      </c>
      <c r="D2" s="3">
        <v>55968.398999999998</v>
      </c>
      <c r="E2" s="3">
        <v>1.2350000000000001</v>
      </c>
      <c r="F2" s="3">
        <v>124</v>
      </c>
      <c r="H2" s="3" t="s">
        <v>2</v>
      </c>
      <c r="I2" s="3">
        <v>24</v>
      </c>
      <c r="J2" s="3">
        <v>1</v>
      </c>
      <c r="L2" s="3">
        <f ca="1">INDIRECT("D"&amp;1+(ROW(D1)-1)*10+COLUMN(A1)-1)</f>
        <v>55989.487999999998</v>
      </c>
      <c r="M2" s="3">
        <f t="shared" ref="M2:U10" ca="1" si="0">INDIRECT("D"&amp;1+(ROW(E1)-1)*10+COLUMN(B1)-1)</f>
        <v>55968.398999999998</v>
      </c>
      <c r="N2" s="3">
        <f t="shared" ca="1" si="0"/>
        <v>55970.004000000001</v>
      </c>
      <c r="O2" s="3">
        <f t="shared" ca="1" si="0"/>
        <v>56008.3</v>
      </c>
      <c r="P2" s="3">
        <f t="shared" ca="1" si="0"/>
        <v>55962.998</v>
      </c>
      <c r="Q2" s="3">
        <f t="shared" ca="1" si="0"/>
        <v>55947.434000000001</v>
      </c>
      <c r="R2" s="3">
        <f t="shared" ca="1" si="0"/>
        <v>56031.976000000002</v>
      </c>
      <c r="S2" s="3">
        <f t="shared" ca="1" si="0"/>
        <v>55973.771999999997</v>
      </c>
      <c r="T2" s="3">
        <f t="shared" ca="1" si="0"/>
        <v>55955.05</v>
      </c>
      <c r="U2" s="3">
        <f t="shared" ca="1" si="0"/>
        <v>55973.743999999999</v>
      </c>
      <c r="W2" s="3">
        <f ca="1">AVERAGE(L2:U2)</f>
        <v>55978.116500000004</v>
      </c>
      <c r="Y2" s="3">
        <f ca="1">Total!E2</f>
        <v>55722.476000000002</v>
      </c>
      <c r="AB2" s="3">
        <f t="shared" ref="AB2:AK10" ca="1" si="1">(L2-$Y2)/$Y2</f>
        <v>4.7918186550072748E-3</v>
      </c>
      <c r="AC2" s="3">
        <f t="shared" ca="1" si="1"/>
        <v>4.4133537784644605E-3</v>
      </c>
      <c r="AD2" s="3">
        <f t="shared" ca="1" si="1"/>
        <v>4.4421572365161664E-3</v>
      </c>
      <c r="AE2" s="3">
        <f t="shared" ca="1" si="1"/>
        <v>5.1294203078843898E-3</v>
      </c>
      <c r="AF2" s="3">
        <f t="shared" ca="1" si="1"/>
        <v>4.3164270015567359E-3</v>
      </c>
      <c r="AG2" s="3">
        <f t="shared" ca="1" si="1"/>
        <v>4.0371142158147945E-3</v>
      </c>
      <c r="AH2" s="3">
        <f t="shared" ca="1" si="1"/>
        <v>5.5543116928257101E-3</v>
      </c>
      <c r="AI2" s="3">
        <f t="shared" ca="1" si="1"/>
        <v>4.5097780651382905E-3</v>
      </c>
      <c r="AJ2" s="3">
        <f t="shared" ca="1" si="1"/>
        <v>4.1737915594418406E-3</v>
      </c>
      <c r="AK2" s="3">
        <f t="shared" ca="1" si="1"/>
        <v>4.5092755749043959E-3</v>
      </c>
      <c r="AM2" s="3">
        <f ca="1">SUM(AB2:AK2)</f>
        <v>4.5877448087554062E-2</v>
      </c>
    </row>
    <row r="3" spans="1:39" x14ac:dyDescent="0.25">
      <c r="A3" s="3" t="s">
        <v>2</v>
      </c>
      <c r="B3" s="3">
        <v>24</v>
      </c>
      <c r="C3" s="3">
        <v>1</v>
      </c>
      <c r="D3" s="3">
        <v>55970.004000000001</v>
      </c>
      <c r="E3" s="3">
        <v>1.2410000000000001</v>
      </c>
      <c r="F3" s="3">
        <v>134</v>
      </c>
      <c r="H3" s="3" t="s">
        <v>2</v>
      </c>
      <c r="I3" s="3">
        <v>47</v>
      </c>
      <c r="J3" s="3">
        <v>1</v>
      </c>
      <c r="L3" s="3">
        <f t="shared" ref="L3:L10" ca="1" si="2">INDIRECT("D"&amp;1+(ROW(D2)-1)*10+COLUMN(A2)-1)</f>
        <v>126257.95600000001</v>
      </c>
      <c r="M3" s="3">
        <f t="shared" ca="1" si="0"/>
        <v>126268.57</v>
      </c>
      <c r="N3" s="3">
        <f t="shared" ca="1" si="0"/>
        <v>126200.421</v>
      </c>
      <c r="O3" s="3">
        <f t="shared" ca="1" si="0"/>
        <v>126372.77099999999</v>
      </c>
      <c r="P3" s="3">
        <f t="shared" ca="1" si="0"/>
        <v>126329.284</v>
      </c>
      <c r="Q3" s="3">
        <f t="shared" ca="1" si="0"/>
        <v>126373.338</v>
      </c>
      <c r="R3" s="3">
        <f t="shared" ca="1" si="0"/>
        <v>126294.52800000001</v>
      </c>
      <c r="S3" s="3">
        <f t="shared" ca="1" si="0"/>
        <v>126241.192</v>
      </c>
      <c r="T3" s="3">
        <f t="shared" ca="1" si="0"/>
        <v>126287.23</v>
      </c>
      <c r="U3" s="3">
        <f t="shared" ca="1" si="0"/>
        <v>126274.84</v>
      </c>
      <c r="W3" s="3">
        <f t="shared" ref="W3:W10" ca="1" si="3">AVERAGE(L3:U3)</f>
        <v>126290.01300000004</v>
      </c>
      <c r="Y3" s="3">
        <f ca="1">Total!E3</f>
        <v>126021.209</v>
      </c>
      <c r="AB3" s="3">
        <f t="shared" ca="1" si="1"/>
        <v>1.8786282236032429E-3</v>
      </c>
      <c r="AC3" s="3">
        <f t="shared" ca="1" si="1"/>
        <v>1.9628521418168939E-3</v>
      </c>
      <c r="AD3" s="3">
        <f t="shared" ca="1" si="1"/>
        <v>1.4220780884588999E-3</v>
      </c>
      <c r="AE3" s="3">
        <f t="shared" ca="1" si="1"/>
        <v>2.7897050249691764E-3</v>
      </c>
      <c r="AF3" s="3">
        <f t="shared" ca="1" si="1"/>
        <v>2.4446281895295664E-3</v>
      </c>
      <c r="AG3" s="3">
        <f t="shared" ca="1" si="1"/>
        <v>2.794204267632449E-3</v>
      </c>
      <c r="AH3" s="3">
        <f t="shared" ca="1" si="1"/>
        <v>2.1688333429653347E-3</v>
      </c>
      <c r="AI3" s="3">
        <f t="shared" ca="1" si="1"/>
        <v>1.7456029960797542E-3</v>
      </c>
      <c r="AJ3" s="3">
        <f t="shared" ca="1" si="1"/>
        <v>2.1109224559176651E-3</v>
      </c>
      <c r="AK3" s="3">
        <f t="shared" ca="1" si="1"/>
        <v>2.0126056717960383E-3</v>
      </c>
      <c r="AM3" s="3">
        <f t="shared" ref="AM3:AM10" ca="1" si="4">SUM(AB3:AK3)</f>
        <v>2.1330060402769024E-2</v>
      </c>
    </row>
    <row r="4" spans="1:39" x14ac:dyDescent="0.25">
      <c r="A4" s="3" t="s">
        <v>2</v>
      </c>
      <c r="B4" s="3">
        <v>24</v>
      </c>
      <c r="C4" s="3">
        <v>1</v>
      </c>
      <c r="D4" s="3">
        <v>56008.3</v>
      </c>
      <c r="E4" s="3">
        <v>1.2370000000000001</v>
      </c>
      <c r="F4" s="3">
        <v>122</v>
      </c>
      <c r="H4" s="3" t="s">
        <v>2</v>
      </c>
      <c r="I4" s="3">
        <v>100</v>
      </c>
      <c r="J4" s="3">
        <v>1</v>
      </c>
      <c r="L4" s="3">
        <f t="shared" ca="1" si="2"/>
        <v>1217047.1869999999</v>
      </c>
      <c r="M4" s="3">
        <f t="shared" ca="1" si="0"/>
        <v>1217320.5989999999</v>
      </c>
      <c r="N4" s="3">
        <f t="shared" ca="1" si="0"/>
        <v>1217517.7379999999</v>
      </c>
      <c r="O4" s="3">
        <f t="shared" ca="1" si="0"/>
        <v>1217227.6529999999</v>
      </c>
      <c r="P4" s="3">
        <f t="shared" ca="1" si="0"/>
        <v>1217517.051</v>
      </c>
      <c r="Q4" s="3">
        <f t="shared" ca="1" si="0"/>
        <v>1216820.122</v>
      </c>
      <c r="R4" s="3">
        <f t="shared" ca="1" si="0"/>
        <v>1216700.804</v>
      </c>
      <c r="S4" s="3">
        <f t="shared" ca="1" si="0"/>
        <v>1217073.2120000001</v>
      </c>
      <c r="T4" s="3">
        <f t="shared" ca="1" si="0"/>
        <v>1217976.7860000001</v>
      </c>
      <c r="U4" s="3">
        <f t="shared" ca="1" si="0"/>
        <v>1216861.405</v>
      </c>
      <c r="W4" s="3">
        <f t="shared" ca="1" si="3"/>
        <v>1217206.2556999999</v>
      </c>
      <c r="Y4" s="3">
        <f ca="1">Total!E4</f>
        <v>1216556.6340000001</v>
      </c>
      <c r="AB4" s="3">
        <f t="shared" ca="1" si="1"/>
        <v>4.0323071387718049E-4</v>
      </c>
      <c r="AC4" s="3">
        <f t="shared" ca="1" si="1"/>
        <v>6.2797323087866285E-4</v>
      </c>
      <c r="AD4" s="3">
        <f t="shared" ca="1" si="1"/>
        <v>7.9001994082243232E-4</v>
      </c>
      <c r="AE4" s="3">
        <f t="shared" ca="1" si="1"/>
        <v>5.515723487476002E-4</v>
      </c>
      <c r="AF4" s="3">
        <f t="shared" ca="1" si="1"/>
        <v>7.8945523221724456E-4</v>
      </c>
      <c r="AG4" s="3">
        <f t="shared" ca="1" si="1"/>
        <v>2.1658506693071527E-4</v>
      </c>
      <c r="AH4" s="3">
        <f t="shared" ca="1" si="1"/>
        <v>1.185066078887746E-4</v>
      </c>
      <c r="AI4" s="3">
        <f t="shared" ca="1" si="1"/>
        <v>4.2462305951305139E-4</v>
      </c>
      <c r="AJ4" s="3">
        <f t="shared" ca="1" si="1"/>
        <v>1.1673537920964571E-3</v>
      </c>
      <c r="AK4" s="3">
        <f t="shared" ca="1" si="1"/>
        <v>2.5051936875135209E-4</v>
      </c>
      <c r="AM4" s="3">
        <f t="shared" ca="1" si="4"/>
        <v>5.3398393617234705E-3</v>
      </c>
    </row>
    <row r="5" spans="1:39" x14ac:dyDescent="0.25">
      <c r="A5" s="3" t="s">
        <v>2</v>
      </c>
      <c r="B5" s="3">
        <v>24</v>
      </c>
      <c r="C5" s="3">
        <v>1</v>
      </c>
      <c r="D5" s="3">
        <v>55962.998</v>
      </c>
      <c r="E5" s="3">
        <v>1.242</v>
      </c>
      <c r="F5" s="3">
        <v>121</v>
      </c>
      <c r="H5" s="3" t="s">
        <v>1</v>
      </c>
      <c r="I5" s="3">
        <v>30</v>
      </c>
      <c r="J5" s="3">
        <v>1</v>
      </c>
      <c r="L5" s="3">
        <f t="shared" ca="1" si="2"/>
        <v>19984.861000000001</v>
      </c>
      <c r="M5" s="3">
        <f t="shared" ca="1" si="0"/>
        <v>20023.511999999999</v>
      </c>
      <c r="N5" s="3">
        <f t="shared" ca="1" si="0"/>
        <v>19970.234</v>
      </c>
      <c r="O5" s="3">
        <f t="shared" ca="1" si="0"/>
        <v>20009.615000000002</v>
      </c>
      <c r="P5" s="3">
        <f t="shared" ca="1" si="0"/>
        <v>20023.834999999999</v>
      </c>
      <c r="Q5" s="3">
        <f t="shared" ca="1" si="0"/>
        <v>20026.085999999999</v>
      </c>
      <c r="R5" s="3">
        <f t="shared" ca="1" si="0"/>
        <v>20001.735000000001</v>
      </c>
      <c r="S5" s="3">
        <f t="shared" ca="1" si="0"/>
        <v>20035.873</v>
      </c>
      <c r="T5" s="3">
        <f t="shared" ca="1" si="0"/>
        <v>20023.13</v>
      </c>
      <c r="U5" s="3">
        <f t="shared" ca="1" si="0"/>
        <v>19998.366000000002</v>
      </c>
      <c r="W5" s="3">
        <f t="shared" ca="1" si="3"/>
        <v>20009.724699999999</v>
      </c>
      <c r="Y5" s="3">
        <f ca="1">Total!E5</f>
        <v>19969.536</v>
      </c>
      <c r="AB5" s="3">
        <f t="shared" ca="1" si="1"/>
        <v>7.6741893251804788E-4</v>
      </c>
      <c r="AC5" s="3">
        <f t="shared" ca="1" si="1"/>
        <v>2.7029170833012218E-3</v>
      </c>
      <c r="AD5" s="3">
        <f t="shared" ca="1" si="1"/>
        <v>3.4953240776366566E-5</v>
      </c>
      <c r="AE5" s="3">
        <f t="shared" ca="1" si="1"/>
        <v>2.0070070731739355E-3</v>
      </c>
      <c r="AF5" s="3">
        <f t="shared" ca="1" si="1"/>
        <v>2.7190917205086322E-3</v>
      </c>
      <c r="AG5" s="3">
        <f t="shared" ca="1" si="1"/>
        <v>2.8318134181985638E-3</v>
      </c>
      <c r="AH5" s="3">
        <f t="shared" ca="1" si="1"/>
        <v>1.6124060168448843E-3</v>
      </c>
      <c r="AI5" s="3">
        <f t="shared" ca="1" si="1"/>
        <v>3.3219099332102426E-3</v>
      </c>
      <c r="AJ5" s="3">
        <f t="shared" ca="1" si="1"/>
        <v>2.6837879457990892E-3</v>
      </c>
      <c r="AK5" s="3">
        <f t="shared" ca="1" si="1"/>
        <v>1.4436990423814427E-3</v>
      </c>
      <c r="AM5" s="3">
        <f t="shared" ca="1" si="4"/>
        <v>2.0125004406712426E-2</v>
      </c>
    </row>
    <row r="6" spans="1:39" x14ac:dyDescent="0.25">
      <c r="A6" s="3" t="s">
        <v>2</v>
      </c>
      <c r="B6" s="3">
        <v>24</v>
      </c>
      <c r="C6" s="3">
        <v>1</v>
      </c>
      <c r="D6" s="3">
        <v>55947.434000000001</v>
      </c>
      <c r="E6" s="3">
        <v>1.2390000000000001</v>
      </c>
      <c r="F6" s="3">
        <v>135</v>
      </c>
      <c r="H6" s="3" t="s">
        <v>1</v>
      </c>
      <c r="I6" s="3">
        <v>50</v>
      </c>
      <c r="J6" s="3">
        <v>1</v>
      </c>
      <c r="L6" s="3">
        <f t="shared" ca="1" si="2"/>
        <v>35503.014000000003</v>
      </c>
      <c r="M6" s="3">
        <f t="shared" ca="1" si="0"/>
        <v>35295.498</v>
      </c>
      <c r="N6" s="3">
        <f t="shared" ca="1" si="0"/>
        <v>35409.349000000002</v>
      </c>
      <c r="O6" s="3">
        <f t="shared" ca="1" si="0"/>
        <v>35367.368000000002</v>
      </c>
      <c r="P6" s="3">
        <f t="shared" ca="1" si="0"/>
        <v>35420.093999999997</v>
      </c>
      <c r="Q6" s="3">
        <f t="shared" ca="1" si="0"/>
        <v>35358.980000000003</v>
      </c>
      <c r="R6" s="3">
        <f t="shared" ca="1" si="0"/>
        <v>35372.235999999997</v>
      </c>
      <c r="S6" s="3">
        <f t="shared" ca="1" si="0"/>
        <v>35439.512999999999</v>
      </c>
      <c r="T6" s="3">
        <f t="shared" ca="1" si="0"/>
        <v>35512.597000000002</v>
      </c>
      <c r="U6" s="3">
        <f t="shared" ca="1" si="0"/>
        <v>35506.012000000002</v>
      </c>
      <c r="W6" s="3">
        <f t="shared" ca="1" si="3"/>
        <v>35418.466099999998</v>
      </c>
      <c r="Y6" s="3">
        <f ca="1">Total!E6</f>
        <v>35277.981</v>
      </c>
      <c r="AB6" s="3">
        <f t="shared" ca="1" si="1"/>
        <v>6.3788514427739812E-3</v>
      </c>
      <c r="AC6" s="3">
        <f t="shared" ca="1" si="1"/>
        <v>4.9654202149493267E-4</v>
      </c>
      <c r="AD6" s="3">
        <f t="shared" ca="1" si="1"/>
        <v>3.7237958714247906E-3</v>
      </c>
      <c r="AE6" s="3">
        <f t="shared" ca="1" si="1"/>
        <v>2.5337901281822913E-3</v>
      </c>
      <c r="AF6" s="3">
        <f t="shared" ca="1" si="1"/>
        <v>4.0283767940120369E-3</v>
      </c>
      <c r="AG6" s="3">
        <f t="shared" ca="1" si="1"/>
        <v>2.2960214191397018E-3</v>
      </c>
      <c r="AH6" s="3">
        <f t="shared" ca="1" si="1"/>
        <v>2.6717798844553315E-3</v>
      </c>
      <c r="AI6" s="3">
        <f t="shared" ca="1" si="1"/>
        <v>4.5788334655545975E-3</v>
      </c>
      <c r="AJ6" s="3">
        <f t="shared" ca="1" si="1"/>
        <v>6.6504939724300492E-3</v>
      </c>
      <c r="AK6" s="3">
        <f t="shared" ca="1" si="1"/>
        <v>6.4638336303883912E-3</v>
      </c>
      <c r="AM6" s="3">
        <f t="shared" ca="1" si="4"/>
        <v>3.98223186298561E-2</v>
      </c>
    </row>
    <row r="7" spans="1:39" x14ac:dyDescent="0.25">
      <c r="A7" s="3" t="s">
        <v>2</v>
      </c>
      <c r="B7" s="3">
        <v>24</v>
      </c>
      <c r="C7" s="3">
        <v>1</v>
      </c>
      <c r="D7" s="3">
        <v>56031.976000000002</v>
      </c>
      <c r="E7" s="3">
        <v>1.24</v>
      </c>
      <c r="F7" s="3">
        <v>126</v>
      </c>
      <c r="H7" s="3" t="s">
        <v>1</v>
      </c>
      <c r="I7" s="3">
        <v>100</v>
      </c>
      <c r="J7" s="3">
        <v>1</v>
      </c>
      <c r="L7" s="3">
        <f t="shared" ca="1" si="2"/>
        <v>63210.89</v>
      </c>
      <c r="M7" s="3">
        <f t="shared" ca="1" si="0"/>
        <v>63159.913</v>
      </c>
      <c r="N7" s="3">
        <f t="shared" ca="1" si="0"/>
        <v>63212.957000000002</v>
      </c>
      <c r="O7" s="3">
        <f t="shared" ca="1" si="0"/>
        <v>63159.025999999998</v>
      </c>
      <c r="P7" s="3">
        <f t="shared" ca="1" si="0"/>
        <v>63147.631000000001</v>
      </c>
      <c r="Q7" s="3">
        <f t="shared" ca="1" si="0"/>
        <v>63217.775000000001</v>
      </c>
      <c r="R7" s="3">
        <f t="shared" ca="1" si="0"/>
        <v>63135.629000000001</v>
      </c>
      <c r="S7" s="3">
        <f t="shared" ca="1" si="0"/>
        <v>63108.898000000001</v>
      </c>
      <c r="T7" s="3">
        <f t="shared" ca="1" si="0"/>
        <v>63118.892</v>
      </c>
      <c r="U7" s="3">
        <f t="shared" ca="1" si="0"/>
        <v>63174.786</v>
      </c>
      <c r="W7" s="3">
        <f t="shared" ca="1" si="3"/>
        <v>63164.6397</v>
      </c>
      <c r="Y7" s="3">
        <f ca="1">Total!E7</f>
        <v>63035.512000000002</v>
      </c>
      <c r="AB7" s="3">
        <f t="shared" ca="1" si="1"/>
        <v>2.7822094948637358E-3</v>
      </c>
      <c r="AC7" s="3">
        <f t="shared" ca="1" si="1"/>
        <v>1.9735066163974048E-3</v>
      </c>
      <c r="AD7" s="3">
        <f t="shared" ca="1" si="1"/>
        <v>2.8150005349365562E-3</v>
      </c>
      <c r="AE7" s="3">
        <f t="shared" ca="1" si="1"/>
        <v>1.9594351831392371E-3</v>
      </c>
      <c r="AF7" s="3">
        <f t="shared" ca="1" si="1"/>
        <v>1.7786640647893647E-3</v>
      </c>
      <c r="AG7" s="3">
        <f t="shared" ca="1" si="1"/>
        <v>2.8914336414051656E-3</v>
      </c>
      <c r="AH7" s="3">
        <f t="shared" ca="1" si="1"/>
        <v>1.5882634537813917E-3</v>
      </c>
      <c r="AI7" s="3">
        <f t="shared" ca="1" si="1"/>
        <v>1.1642009031353406E-3</v>
      </c>
      <c r="AJ7" s="3">
        <f t="shared" ca="1" si="1"/>
        <v>1.3227464544112433E-3</v>
      </c>
      <c r="AK7" s="3">
        <f t="shared" ca="1" si="1"/>
        <v>2.2094529826298167E-3</v>
      </c>
      <c r="AM7" s="3">
        <f t="shared" ca="1" si="4"/>
        <v>2.0484913329489256E-2</v>
      </c>
    </row>
    <row r="8" spans="1:39" x14ac:dyDescent="0.25">
      <c r="A8" s="3" t="s">
        <v>2</v>
      </c>
      <c r="B8" s="3">
        <v>24</v>
      </c>
      <c r="C8" s="3">
        <v>1</v>
      </c>
      <c r="D8" s="3">
        <v>55973.771999999997</v>
      </c>
      <c r="E8" s="3">
        <v>1.2390000000000001</v>
      </c>
      <c r="F8" s="3">
        <v>132</v>
      </c>
      <c r="H8" s="3" t="s">
        <v>0</v>
      </c>
      <c r="I8" s="3">
        <v>25</v>
      </c>
      <c r="J8" s="3">
        <v>1</v>
      </c>
      <c r="L8" s="3">
        <f t="shared" ca="1" si="2"/>
        <v>723.52800000000002</v>
      </c>
      <c r="M8" s="3">
        <f t="shared" ca="1" si="0"/>
        <v>723.95899999999995</v>
      </c>
      <c r="N8" s="3">
        <f t="shared" ca="1" si="0"/>
        <v>723.83</v>
      </c>
      <c r="O8" s="3">
        <f t="shared" ca="1" si="0"/>
        <v>722.96699999999998</v>
      </c>
      <c r="P8" s="3">
        <f t="shared" ca="1" si="0"/>
        <v>723.12400000000002</v>
      </c>
      <c r="Q8" s="3">
        <f t="shared" ca="1" si="0"/>
        <v>723.65899999999999</v>
      </c>
      <c r="R8" s="3">
        <f t="shared" ca="1" si="0"/>
        <v>723.55399999999997</v>
      </c>
      <c r="S8" s="3">
        <f t="shared" ca="1" si="0"/>
        <v>723.56899999999996</v>
      </c>
      <c r="T8" s="3">
        <f t="shared" ca="1" si="0"/>
        <v>722.98599999999999</v>
      </c>
      <c r="U8" s="3">
        <f t="shared" ca="1" si="0"/>
        <v>723.14599999999996</v>
      </c>
      <c r="W8" s="3">
        <f t="shared" ca="1" si="3"/>
        <v>723.43219999999997</v>
      </c>
      <c r="Y8" s="3">
        <f ca="1">Total!E8</f>
        <v>722.92</v>
      </c>
      <c r="AB8" s="3">
        <f t="shared" ca="1" si="1"/>
        <v>8.410335860123679E-4</v>
      </c>
      <c r="AC8" s="3">
        <f t="shared" ca="1" si="1"/>
        <v>1.437226802412421E-3</v>
      </c>
      <c r="AD8" s="3">
        <f t="shared" ca="1" si="1"/>
        <v>1.2587838211698139E-3</v>
      </c>
      <c r="AE8" s="3">
        <f t="shared" ca="1" si="1"/>
        <v>6.5014109445063727E-5</v>
      </c>
      <c r="AF8" s="3">
        <f t="shared" ca="1" si="1"/>
        <v>2.8218890057000025E-4</v>
      </c>
      <c r="AG8" s="3">
        <f t="shared" ca="1" si="1"/>
        <v>1.0222431251037912E-3</v>
      </c>
      <c r="AH8" s="3">
        <f t="shared" ca="1" si="1"/>
        <v>8.7699883804572367E-4</v>
      </c>
      <c r="AI8" s="3">
        <f t="shared" ca="1" si="1"/>
        <v>8.9774802191113943E-4</v>
      </c>
      <c r="AJ8" s="3">
        <f t="shared" ca="1" si="1"/>
        <v>9.1296409007955137E-5</v>
      </c>
      <c r="AK8" s="3">
        <f t="shared" ca="1" si="1"/>
        <v>3.1262103690588044E-4</v>
      </c>
      <c r="AM8" s="3">
        <f t="shared" ca="1" si="4"/>
        <v>7.0851546505841557E-3</v>
      </c>
    </row>
    <row r="9" spans="1:39" x14ac:dyDescent="0.25">
      <c r="A9" s="3" t="s">
        <v>2</v>
      </c>
      <c r="B9" s="3">
        <v>24</v>
      </c>
      <c r="C9" s="3">
        <v>1</v>
      </c>
      <c r="D9" s="3">
        <v>55955.05</v>
      </c>
      <c r="E9" s="3">
        <v>1.2350000000000001</v>
      </c>
      <c r="F9" s="3">
        <v>131</v>
      </c>
      <c r="H9" s="3" t="s">
        <v>0</v>
      </c>
      <c r="I9" s="3">
        <v>50</v>
      </c>
      <c r="J9" s="3">
        <v>1</v>
      </c>
      <c r="L9" s="3">
        <f t="shared" ca="1" si="2"/>
        <v>1572.79</v>
      </c>
      <c r="M9" s="3">
        <f t="shared" ca="1" si="0"/>
        <v>1574.636</v>
      </c>
      <c r="N9" s="3">
        <f t="shared" ca="1" si="0"/>
        <v>1573.605</v>
      </c>
      <c r="O9" s="3">
        <f t="shared" ca="1" si="0"/>
        <v>1572.759</v>
      </c>
      <c r="P9" s="3">
        <f t="shared" ca="1" si="0"/>
        <v>1573.9359999999999</v>
      </c>
      <c r="Q9" s="3">
        <f t="shared" ca="1" si="0"/>
        <v>1572.414</v>
      </c>
      <c r="R9" s="3">
        <f t="shared" ca="1" si="0"/>
        <v>1572.8989999999999</v>
      </c>
      <c r="S9" s="3">
        <f t="shared" ca="1" si="0"/>
        <v>1571.376</v>
      </c>
      <c r="T9" s="3">
        <f t="shared" ca="1" si="0"/>
        <v>1572.386</v>
      </c>
      <c r="U9" s="3">
        <f t="shared" ca="1" si="0"/>
        <v>1571.962</v>
      </c>
      <c r="W9" s="3">
        <f t="shared" ca="1" si="3"/>
        <v>1572.8762999999999</v>
      </c>
      <c r="Y9" s="3">
        <f ca="1">Total!E9</f>
        <v>1570.17</v>
      </c>
      <c r="AB9" s="3">
        <f t="shared" ca="1" si="1"/>
        <v>1.6686091314952463E-3</v>
      </c>
      <c r="AC9" s="3">
        <f t="shared" ca="1" si="1"/>
        <v>2.8442780081137037E-3</v>
      </c>
      <c r="AD9" s="3">
        <f t="shared" ca="1" si="1"/>
        <v>2.1876612086589001E-3</v>
      </c>
      <c r="AE9" s="3">
        <f t="shared" ca="1" si="1"/>
        <v>1.6488660463516319E-3</v>
      </c>
      <c r="AF9" s="3">
        <f t="shared" ca="1" si="1"/>
        <v>2.3984664080958424E-3</v>
      </c>
      <c r="AG9" s="3">
        <f t="shared" ca="1" si="1"/>
        <v>1.4291446149142541E-3</v>
      </c>
      <c r="AH9" s="3">
        <f t="shared" ca="1" si="1"/>
        <v>1.7380283663551172E-3</v>
      </c>
      <c r="AI9" s="3">
        <f t="shared" ca="1" si="1"/>
        <v>7.6806969945923274E-4</v>
      </c>
      <c r="AJ9" s="3">
        <f t="shared" ca="1" si="1"/>
        <v>1.4113121509135281E-3</v>
      </c>
      <c r="AK9" s="3">
        <f t="shared" ca="1" si="1"/>
        <v>1.1412776960455977E-3</v>
      </c>
      <c r="AM9" s="3">
        <f t="shared" ca="1" si="4"/>
        <v>1.7235713330403055E-2</v>
      </c>
    </row>
    <row r="10" spans="1:39" x14ac:dyDescent="0.25">
      <c r="A10" s="3" t="s">
        <v>2</v>
      </c>
      <c r="B10" s="3">
        <v>24</v>
      </c>
      <c r="C10" s="3">
        <v>1</v>
      </c>
      <c r="D10" s="3">
        <v>55973.743999999999</v>
      </c>
      <c r="E10" s="3">
        <v>1.2370000000000001</v>
      </c>
      <c r="F10" s="3">
        <v>118</v>
      </c>
      <c r="H10" s="3" t="s">
        <v>28</v>
      </c>
      <c r="I10" s="3">
        <v>100</v>
      </c>
      <c r="J10" s="3">
        <v>1</v>
      </c>
      <c r="L10" s="3">
        <f t="shared" ca="1" si="2"/>
        <v>3310.6370000000002</v>
      </c>
      <c r="M10" s="3">
        <f t="shared" ca="1" si="0"/>
        <v>3334.1149999999998</v>
      </c>
      <c r="N10" s="3">
        <f t="shared" ca="1" si="0"/>
        <v>3334.7649999999999</v>
      </c>
      <c r="O10" s="3">
        <f t="shared" ca="1" si="0"/>
        <v>3326.482</v>
      </c>
      <c r="P10" s="3">
        <f t="shared" ca="1" si="0"/>
        <v>3321.1559999999999</v>
      </c>
      <c r="Q10" s="3">
        <f t="shared" ca="1" si="0"/>
        <v>3328.3710000000001</v>
      </c>
      <c r="R10" s="3">
        <f t="shared" ca="1" si="0"/>
        <v>3319.223</v>
      </c>
      <c r="S10" s="3">
        <f t="shared" ca="1" si="0"/>
        <v>3334.944</v>
      </c>
      <c r="T10" s="3">
        <f t="shared" ca="1" si="0"/>
        <v>3332.6680000000001</v>
      </c>
      <c r="U10" s="3">
        <f t="shared" ca="1" si="0"/>
        <v>3337.3420000000001</v>
      </c>
      <c r="W10" s="3">
        <f t="shared" ca="1" si="3"/>
        <v>3327.9702999999995</v>
      </c>
      <c r="Y10" s="3">
        <f ca="1">Total!E10</f>
        <v>3290.5340000000001</v>
      </c>
      <c r="AB10" s="3">
        <f t="shared" ca="1" si="1"/>
        <v>6.1093427388989336E-3</v>
      </c>
      <c r="AC10" s="3">
        <f t="shared" ca="1" si="1"/>
        <v>1.3244354867629289E-2</v>
      </c>
      <c r="AD10" s="3">
        <f t="shared" ca="1" si="1"/>
        <v>1.344189119455984E-2</v>
      </c>
      <c r="AE10" s="3">
        <f t="shared" ca="1" si="1"/>
        <v>1.0924670585382148E-2</v>
      </c>
      <c r="AF10" s="3">
        <f t="shared" ca="1" si="1"/>
        <v>9.3060883127175833E-3</v>
      </c>
      <c r="AG10" s="3">
        <f t="shared" ca="1" si="1"/>
        <v>1.1498741541646429E-2</v>
      </c>
      <c r="AH10" s="3">
        <f t="shared" ca="1" si="1"/>
        <v>8.7186456666303556E-3</v>
      </c>
      <c r="AI10" s="3">
        <f t="shared" ca="1" si="1"/>
        <v>1.3496289659976117E-2</v>
      </c>
      <c r="AJ10" s="3">
        <f t="shared" ca="1" si="1"/>
        <v>1.2804608613677906E-2</v>
      </c>
      <c r="AK10" s="3">
        <f t="shared" ca="1" si="1"/>
        <v>1.4225046755329072E-2</v>
      </c>
      <c r="AM10" s="3">
        <f t="shared" ca="1" si="4"/>
        <v>0.11376967993644768</v>
      </c>
    </row>
    <row r="11" spans="1:39" x14ac:dyDescent="0.25">
      <c r="A11" s="3" t="s">
        <v>2</v>
      </c>
      <c r="B11" s="3">
        <v>47</v>
      </c>
      <c r="C11" s="3">
        <v>1</v>
      </c>
      <c r="D11" s="3">
        <v>126257.95600000001</v>
      </c>
      <c r="E11" s="3">
        <v>4.1609999999999996</v>
      </c>
      <c r="F11" s="3">
        <v>119</v>
      </c>
    </row>
    <row r="12" spans="1:39" x14ac:dyDescent="0.25">
      <c r="A12" s="3" t="s">
        <v>2</v>
      </c>
      <c r="B12" s="3">
        <v>47</v>
      </c>
      <c r="C12" s="3">
        <v>1</v>
      </c>
      <c r="D12" s="3">
        <v>126268.57</v>
      </c>
      <c r="E12" s="3">
        <v>4.1529999999999996</v>
      </c>
      <c r="F12" s="3">
        <v>117</v>
      </c>
    </row>
    <row r="13" spans="1:39" x14ac:dyDescent="0.25">
      <c r="A13" s="3" t="s">
        <v>2</v>
      </c>
      <c r="B13" s="3">
        <v>47</v>
      </c>
      <c r="C13" s="3">
        <v>1</v>
      </c>
      <c r="D13" s="3">
        <v>126200.421</v>
      </c>
      <c r="E13" s="3">
        <v>4.1429999999999998</v>
      </c>
      <c r="F13" s="3">
        <v>118</v>
      </c>
    </row>
    <row r="14" spans="1:39" x14ac:dyDescent="0.25">
      <c r="A14" s="3" t="s">
        <v>2</v>
      </c>
      <c r="B14" s="3">
        <v>47</v>
      </c>
      <c r="C14" s="3">
        <v>1</v>
      </c>
      <c r="D14" s="3">
        <v>126372.77099999999</v>
      </c>
      <c r="E14" s="3">
        <v>4.1539999999999999</v>
      </c>
      <c r="F14" s="3">
        <v>116</v>
      </c>
    </row>
    <row r="15" spans="1:39" x14ac:dyDescent="0.25">
      <c r="A15" s="3" t="s">
        <v>2</v>
      </c>
      <c r="B15" s="3">
        <v>47</v>
      </c>
      <c r="C15" s="3">
        <v>1</v>
      </c>
      <c r="D15" s="3">
        <v>126329.284</v>
      </c>
      <c r="E15" s="3">
        <v>4.1470000000000002</v>
      </c>
      <c r="F15" s="3">
        <v>116</v>
      </c>
    </row>
    <row r="16" spans="1:39" x14ac:dyDescent="0.25">
      <c r="A16" s="3" t="s">
        <v>2</v>
      </c>
      <c r="B16" s="3">
        <v>47</v>
      </c>
      <c r="C16" s="3">
        <v>1</v>
      </c>
      <c r="D16" s="3">
        <v>126373.338</v>
      </c>
      <c r="E16" s="3">
        <v>4.1399999999999997</v>
      </c>
      <c r="F16" s="3">
        <v>119</v>
      </c>
    </row>
    <row r="17" spans="1:6" x14ac:dyDescent="0.25">
      <c r="A17" s="3" t="s">
        <v>2</v>
      </c>
      <c r="B17" s="3">
        <v>47</v>
      </c>
      <c r="C17" s="3">
        <v>1</v>
      </c>
      <c r="D17" s="3">
        <v>126294.52800000001</v>
      </c>
      <c r="E17" s="3">
        <v>4.1399999999999997</v>
      </c>
      <c r="F17" s="3">
        <v>119</v>
      </c>
    </row>
    <row r="18" spans="1:6" x14ac:dyDescent="0.25">
      <c r="A18" s="3" t="s">
        <v>2</v>
      </c>
      <c r="B18" s="3">
        <v>47</v>
      </c>
      <c r="C18" s="3">
        <v>1</v>
      </c>
      <c r="D18" s="3">
        <v>126241.192</v>
      </c>
      <c r="E18" s="3">
        <v>4.1609999999999996</v>
      </c>
      <c r="F18" s="3">
        <v>116</v>
      </c>
    </row>
    <row r="19" spans="1:6" x14ac:dyDescent="0.25">
      <c r="A19" s="3" t="s">
        <v>2</v>
      </c>
      <c r="B19" s="3">
        <v>47</v>
      </c>
      <c r="C19" s="3">
        <v>1</v>
      </c>
      <c r="D19" s="3">
        <v>126287.23</v>
      </c>
      <c r="E19" s="3">
        <v>4.1399999999999997</v>
      </c>
      <c r="F19" s="3">
        <v>116</v>
      </c>
    </row>
    <row r="20" spans="1:6" x14ac:dyDescent="0.25">
      <c r="A20" s="3" t="s">
        <v>2</v>
      </c>
      <c r="B20" s="3">
        <v>47</v>
      </c>
      <c r="C20" s="3">
        <v>1</v>
      </c>
      <c r="D20" s="3">
        <v>126274.84</v>
      </c>
      <c r="E20" s="3">
        <v>4.1420000000000003</v>
      </c>
      <c r="F20" s="3">
        <v>121</v>
      </c>
    </row>
    <row r="21" spans="1:6" x14ac:dyDescent="0.25">
      <c r="A21" s="3" t="s">
        <v>2</v>
      </c>
      <c r="B21" s="3">
        <v>100</v>
      </c>
      <c r="C21" s="3">
        <v>1</v>
      </c>
      <c r="D21" s="3">
        <v>1217047.1869999999</v>
      </c>
      <c r="E21" s="3">
        <v>22.178000000000001</v>
      </c>
      <c r="F21" s="3">
        <v>132</v>
      </c>
    </row>
    <row r="22" spans="1:6" x14ac:dyDescent="0.25">
      <c r="A22" s="3" t="s">
        <v>2</v>
      </c>
      <c r="B22" s="3">
        <v>100</v>
      </c>
      <c r="C22" s="3">
        <v>1</v>
      </c>
      <c r="D22" s="3">
        <v>1217320.5989999999</v>
      </c>
      <c r="E22" s="3">
        <v>22.178999999999998</v>
      </c>
      <c r="F22" s="3">
        <v>133</v>
      </c>
    </row>
    <row r="23" spans="1:6" x14ac:dyDescent="0.25">
      <c r="A23" s="3" t="s">
        <v>2</v>
      </c>
      <c r="B23" s="3">
        <v>100</v>
      </c>
      <c r="C23" s="3">
        <v>1</v>
      </c>
      <c r="D23" s="3">
        <v>1217517.7379999999</v>
      </c>
      <c r="E23" s="3">
        <v>22.184999999999999</v>
      </c>
      <c r="F23" s="3">
        <v>134</v>
      </c>
    </row>
    <row r="24" spans="1:6" x14ac:dyDescent="0.25">
      <c r="A24" s="3" t="s">
        <v>2</v>
      </c>
      <c r="B24" s="3">
        <v>100</v>
      </c>
      <c r="C24" s="3">
        <v>1</v>
      </c>
      <c r="D24" s="3">
        <v>1217227.6529999999</v>
      </c>
      <c r="E24" s="3">
        <v>22.164999999999999</v>
      </c>
      <c r="F24" s="3">
        <v>132</v>
      </c>
    </row>
    <row r="25" spans="1:6" x14ac:dyDescent="0.25">
      <c r="A25" s="3" t="s">
        <v>2</v>
      </c>
      <c r="B25" s="3">
        <v>100</v>
      </c>
      <c r="C25" s="3">
        <v>1</v>
      </c>
      <c r="D25" s="3">
        <v>1217517.051</v>
      </c>
      <c r="E25" s="3">
        <v>22.167000000000002</v>
      </c>
      <c r="F25" s="3">
        <v>133</v>
      </c>
    </row>
    <row r="26" spans="1:6" x14ac:dyDescent="0.25">
      <c r="A26" s="3" t="s">
        <v>2</v>
      </c>
      <c r="B26" s="3">
        <v>100</v>
      </c>
      <c r="C26" s="3">
        <v>1</v>
      </c>
      <c r="D26" s="3">
        <v>1216820.122</v>
      </c>
      <c r="E26" s="3">
        <v>22.187000000000001</v>
      </c>
      <c r="F26" s="3">
        <v>132</v>
      </c>
    </row>
    <row r="27" spans="1:6" x14ac:dyDescent="0.25">
      <c r="A27" s="3" t="s">
        <v>2</v>
      </c>
      <c r="B27" s="3">
        <v>100</v>
      </c>
      <c r="C27" s="3">
        <v>1</v>
      </c>
      <c r="D27" s="3">
        <v>1216700.804</v>
      </c>
      <c r="E27" s="3">
        <v>22.149000000000001</v>
      </c>
      <c r="F27" s="3">
        <v>132</v>
      </c>
    </row>
    <row r="28" spans="1:6" x14ac:dyDescent="0.25">
      <c r="A28" s="3" t="s">
        <v>2</v>
      </c>
      <c r="B28" s="3">
        <v>100</v>
      </c>
      <c r="C28" s="3">
        <v>1</v>
      </c>
      <c r="D28" s="3">
        <v>1217073.2120000001</v>
      </c>
      <c r="E28" s="3">
        <v>22.178000000000001</v>
      </c>
      <c r="F28" s="3">
        <v>133</v>
      </c>
    </row>
    <row r="29" spans="1:6" x14ac:dyDescent="0.25">
      <c r="A29" s="3" t="s">
        <v>2</v>
      </c>
      <c r="B29" s="3">
        <v>100</v>
      </c>
      <c r="C29" s="3">
        <v>1</v>
      </c>
      <c r="D29" s="3">
        <v>1217976.7860000001</v>
      </c>
      <c r="E29" s="3">
        <v>22.169</v>
      </c>
      <c r="F29" s="3">
        <v>133</v>
      </c>
    </row>
    <row r="30" spans="1:6" x14ac:dyDescent="0.25">
      <c r="A30" s="3" t="s">
        <v>2</v>
      </c>
      <c r="B30" s="3">
        <v>100</v>
      </c>
      <c r="C30" s="3">
        <v>1</v>
      </c>
      <c r="D30" s="3">
        <v>1216861.405</v>
      </c>
      <c r="E30" s="3">
        <v>22.128</v>
      </c>
      <c r="F30" s="3">
        <v>132</v>
      </c>
    </row>
    <row r="31" spans="1:6" x14ac:dyDescent="0.25">
      <c r="A31" s="3" t="s">
        <v>1</v>
      </c>
      <c r="B31" s="3">
        <v>30</v>
      </c>
      <c r="C31" s="3">
        <v>1</v>
      </c>
      <c r="D31" s="3">
        <v>19984.861000000001</v>
      </c>
      <c r="E31" s="3">
        <v>1.3560000000000001</v>
      </c>
      <c r="F31" s="3">
        <v>86</v>
      </c>
    </row>
    <row r="32" spans="1:6" x14ac:dyDescent="0.25">
      <c r="A32" s="3" t="s">
        <v>1</v>
      </c>
      <c r="B32" s="3">
        <v>30</v>
      </c>
      <c r="C32" s="3">
        <v>1</v>
      </c>
      <c r="D32" s="3">
        <v>20023.511999999999</v>
      </c>
      <c r="E32" s="3">
        <v>1.3580000000000001</v>
      </c>
      <c r="F32" s="3">
        <v>86</v>
      </c>
    </row>
    <row r="33" spans="1:6" x14ac:dyDescent="0.25">
      <c r="A33" s="3" t="s">
        <v>1</v>
      </c>
      <c r="B33" s="3">
        <v>30</v>
      </c>
      <c r="C33" s="3">
        <v>1</v>
      </c>
      <c r="D33" s="3">
        <v>19970.234</v>
      </c>
      <c r="E33" s="3">
        <v>1.349</v>
      </c>
      <c r="F33" s="3">
        <v>90</v>
      </c>
    </row>
    <row r="34" spans="1:6" x14ac:dyDescent="0.25">
      <c r="A34" s="3" t="s">
        <v>1</v>
      </c>
      <c r="B34" s="3">
        <v>30</v>
      </c>
      <c r="C34" s="3">
        <v>1</v>
      </c>
      <c r="D34" s="3">
        <v>20009.615000000002</v>
      </c>
      <c r="E34" s="3">
        <v>1.35</v>
      </c>
      <c r="F34" s="3">
        <v>92</v>
      </c>
    </row>
    <row r="35" spans="1:6" x14ac:dyDescent="0.25">
      <c r="A35" s="3" t="s">
        <v>1</v>
      </c>
      <c r="B35" s="3">
        <v>30</v>
      </c>
      <c r="C35" s="3">
        <v>1</v>
      </c>
      <c r="D35" s="3">
        <v>20023.834999999999</v>
      </c>
      <c r="E35" s="3">
        <v>1.353</v>
      </c>
      <c r="F35" s="3">
        <v>84</v>
      </c>
    </row>
    <row r="36" spans="1:6" x14ac:dyDescent="0.25">
      <c r="A36" s="3" t="s">
        <v>1</v>
      </c>
      <c r="B36" s="3">
        <v>30</v>
      </c>
      <c r="C36" s="3">
        <v>1</v>
      </c>
      <c r="D36" s="3">
        <v>20026.085999999999</v>
      </c>
      <c r="E36" s="3">
        <v>1.3580000000000001</v>
      </c>
      <c r="F36" s="3">
        <v>86</v>
      </c>
    </row>
    <row r="37" spans="1:6" x14ac:dyDescent="0.25">
      <c r="A37" s="3" t="s">
        <v>1</v>
      </c>
      <c r="B37" s="3">
        <v>30</v>
      </c>
      <c r="C37" s="3">
        <v>1</v>
      </c>
      <c r="D37" s="3">
        <v>20001.735000000001</v>
      </c>
      <c r="E37" s="3">
        <v>1.35</v>
      </c>
      <c r="F37" s="3">
        <v>93</v>
      </c>
    </row>
    <row r="38" spans="1:6" x14ac:dyDescent="0.25">
      <c r="A38" s="3" t="s">
        <v>1</v>
      </c>
      <c r="B38" s="3">
        <v>30</v>
      </c>
      <c r="C38" s="3">
        <v>1</v>
      </c>
      <c r="D38" s="3">
        <v>20035.873</v>
      </c>
      <c r="E38" s="3">
        <v>1.353</v>
      </c>
      <c r="F38" s="3">
        <v>88</v>
      </c>
    </row>
    <row r="39" spans="1:6" x14ac:dyDescent="0.25">
      <c r="A39" s="3" t="s">
        <v>1</v>
      </c>
      <c r="B39" s="3">
        <v>30</v>
      </c>
      <c r="C39" s="3">
        <v>1</v>
      </c>
      <c r="D39" s="3">
        <v>20023.13</v>
      </c>
      <c r="E39" s="3">
        <v>1.349</v>
      </c>
      <c r="F39" s="3">
        <v>85</v>
      </c>
    </row>
    <row r="40" spans="1:6" x14ac:dyDescent="0.25">
      <c r="A40" s="3" t="s">
        <v>1</v>
      </c>
      <c r="B40" s="3">
        <v>30</v>
      </c>
      <c r="C40" s="3">
        <v>1</v>
      </c>
      <c r="D40" s="3">
        <v>19998.366000000002</v>
      </c>
      <c r="E40" s="3">
        <v>1.355</v>
      </c>
      <c r="F40" s="3">
        <v>92</v>
      </c>
    </row>
    <row r="41" spans="1:6" x14ac:dyDescent="0.25">
      <c r="A41" s="3" t="s">
        <v>1</v>
      </c>
      <c r="B41" s="3">
        <v>50</v>
      </c>
      <c r="C41" s="3">
        <v>1</v>
      </c>
      <c r="D41" s="3">
        <v>35503.014000000003</v>
      </c>
      <c r="E41" s="3">
        <v>3.0529999999999999</v>
      </c>
      <c r="F41" s="3">
        <v>76</v>
      </c>
    </row>
    <row r="42" spans="1:6" x14ac:dyDescent="0.25">
      <c r="A42" s="3" t="s">
        <v>1</v>
      </c>
      <c r="B42" s="3">
        <v>50</v>
      </c>
      <c r="C42" s="3">
        <v>1</v>
      </c>
      <c r="D42" s="3">
        <v>35295.498</v>
      </c>
      <c r="E42" s="3">
        <v>3.0409999999999999</v>
      </c>
      <c r="F42" s="3">
        <v>74</v>
      </c>
    </row>
    <row r="43" spans="1:6" x14ac:dyDescent="0.25">
      <c r="A43" s="3" t="s">
        <v>1</v>
      </c>
      <c r="B43" s="3">
        <v>50</v>
      </c>
      <c r="C43" s="3">
        <v>1</v>
      </c>
      <c r="D43" s="3">
        <v>35409.349000000002</v>
      </c>
      <c r="E43" s="3">
        <v>3.0419999999999998</v>
      </c>
      <c r="F43" s="3">
        <v>78</v>
      </c>
    </row>
    <row r="44" spans="1:6" x14ac:dyDescent="0.25">
      <c r="A44" s="3" t="s">
        <v>1</v>
      </c>
      <c r="B44" s="3">
        <v>50</v>
      </c>
      <c r="C44" s="3">
        <v>1</v>
      </c>
      <c r="D44" s="3">
        <v>35367.368000000002</v>
      </c>
      <c r="E44" s="3">
        <v>3.0619999999999998</v>
      </c>
      <c r="F44" s="3">
        <v>77</v>
      </c>
    </row>
    <row r="45" spans="1:6" x14ac:dyDescent="0.25">
      <c r="A45" s="3" t="s">
        <v>1</v>
      </c>
      <c r="B45" s="3">
        <v>50</v>
      </c>
      <c r="C45" s="3">
        <v>1</v>
      </c>
      <c r="D45" s="3">
        <v>35420.093999999997</v>
      </c>
      <c r="E45" s="3">
        <v>3.0379999999999998</v>
      </c>
      <c r="F45" s="3">
        <v>76</v>
      </c>
    </row>
    <row r="46" spans="1:6" x14ac:dyDescent="0.25">
      <c r="A46" s="3" t="s">
        <v>1</v>
      </c>
      <c r="B46" s="3">
        <v>50</v>
      </c>
      <c r="C46" s="3">
        <v>1</v>
      </c>
      <c r="D46" s="3">
        <v>35358.980000000003</v>
      </c>
      <c r="E46" s="3">
        <v>3.048</v>
      </c>
      <c r="F46" s="3">
        <v>75</v>
      </c>
    </row>
    <row r="47" spans="1:6" x14ac:dyDescent="0.25">
      <c r="A47" s="3" t="s">
        <v>1</v>
      </c>
      <c r="B47" s="3">
        <v>50</v>
      </c>
      <c r="C47" s="3">
        <v>1</v>
      </c>
      <c r="D47" s="3">
        <v>35372.235999999997</v>
      </c>
      <c r="E47" s="3">
        <v>3.0569999999999999</v>
      </c>
      <c r="F47" s="3">
        <v>77</v>
      </c>
    </row>
    <row r="48" spans="1:6" x14ac:dyDescent="0.25">
      <c r="A48" s="3" t="s">
        <v>1</v>
      </c>
      <c r="B48" s="3">
        <v>50</v>
      </c>
      <c r="C48" s="3">
        <v>1</v>
      </c>
      <c r="D48" s="3">
        <v>35439.512999999999</v>
      </c>
      <c r="E48" s="3">
        <v>3.05</v>
      </c>
      <c r="F48" s="3">
        <v>78</v>
      </c>
    </row>
    <row r="49" spans="1:6" x14ac:dyDescent="0.25">
      <c r="A49" s="3" t="s">
        <v>1</v>
      </c>
      <c r="B49" s="3">
        <v>50</v>
      </c>
      <c r="C49" s="3">
        <v>1</v>
      </c>
      <c r="D49" s="3">
        <v>35512.597000000002</v>
      </c>
      <c r="E49" s="3">
        <v>3.036</v>
      </c>
      <c r="F49" s="3">
        <v>76</v>
      </c>
    </row>
    <row r="50" spans="1:6" x14ac:dyDescent="0.25">
      <c r="A50" s="3" t="s">
        <v>1</v>
      </c>
      <c r="B50" s="3">
        <v>50</v>
      </c>
      <c r="C50" s="3">
        <v>1</v>
      </c>
      <c r="D50" s="3">
        <v>35506.012000000002</v>
      </c>
      <c r="E50" s="3">
        <v>3.044</v>
      </c>
      <c r="F50" s="3">
        <v>77</v>
      </c>
    </row>
    <row r="51" spans="1:6" x14ac:dyDescent="0.25">
      <c r="A51" s="3" t="s">
        <v>1</v>
      </c>
      <c r="B51" s="3">
        <v>100</v>
      </c>
      <c r="C51" s="3">
        <v>1</v>
      </c>
      <c r="D51" s="3">
        <v>63210.89</v>
      </c>
      <c r="E51" s="3">
        <v>11.696</v>
      </c>
      <c r="F51" s="3">
        <v>72</v>
      </c>
    </row>
    <row r="52" spans="1:6" x14ac:dyDescent="0.25">
      <c r="A52" s="3" t="s">
        <v>1</v>
      </c>
      <c r="B52" s="3">
        <v>100</v>
      </c>
      <c r="C52" s="3">
        <v>1</v>
      </c>
      <c r="D52" s="3">
        <v>63159.913</v>
      </c>
      <c r="E52" s="3">
        <v>11.695</v>
      </c>
      <c r="F52" s="3">
        <v>71</v>
      </c>
    </row>
    <row r="53" spans="1:6" x14ac:dyDescent="0.25">
      <c r="A53" s="3" t="s">
        <v>1</v>
      </c>
      <c r="B53" s="3">
        <v>100</v>
      </c>
      <c r="C53" s="3">
        <v>1</v>
      </c>
      <c r="D53" s="3">
        <v>63212.957000000002</v>
      </c>
      <c r="E53" s="3">
        <v>11.77</v>
      </c>
      <c r="F53" s="3">
        <v>72</v>
      </c>
    </row>
    <row r="54" spans="1:6" x14ac:dyDescent="0.25">
      <c r="A54" s="3" t="s">
        <v>1</v>
      </c>
      <c r="B54" s="3">
        <v>100</v>
      </c>
      <c r="C54" s="3">
        <v>1</v>
      </c>
      <c r="D54" s="3">
        <v>63159.025999999998</v>
      </c>
      <c r="E54" s="3">
        <v>11.702</v>
      </c>
      <c r="F54" s="3">
        <v>72</v>
      </c>
    </row>
    <row r="55" spans="1:6" x14ac:dyDescent="0.25">
      <c r="A55" s="3" t="s">
        <v>1</v>
      </c>
      <c r="B55" s="3">
        <v>100</v>
      </c>
      <c r="C55" s="3">
        <v>1</v>
      </c>
      <c r="D55" s="3">
        <v>63147.631000000001</v>
      </c>
      <c r="E55" s="3">
        <v>11.718999999999999</v>
      </c>
      <c r="F55" s="3">
        <v>72</v>
      </c>
    </row>
    <row r="56" spans="1:6" x14ac:dyDescent="0.25">
      <c r="A56" s="3" t="s">
        <v>1</v>
      </c>
      <c r="B56" s="3">
        <v>100</v>
      </c>
      <c r="C56" s="3">
        <v>1</v>
      </c>
      <c r="D56" s="3">
        <v>63217.775000000001</v>
      </c>
      <c r="E56" s="3">
        <v>11.717000000000001</v>
      </c>
      <c r="F56" s="3">
        <v>72</v>
      </c>
    </row>
    <row r="57" spans="1:6" x14ac:dyDescent="0.25">
      <c r="A57" s="3" t="s">
        <v>1</v>
      </c>
      <c r="B57" s="3">
        <v>100</v>
      </c>
      <c r="C57" s="3">
        <v>1</v>
      </c>
      <c r="D57" s="3">
        <v>63135.629000000001</v>
      </c>
      <c r="E57" s="3">
        <v>11.69</v>
      </c>
      <c r="F57" s="3">
        <v>72</v>
      </c>
    </row>
    <row r="58" spans="1:6" x14ac:dyDescent="0.25">
      <c r="A58" s="3" t="s">
        <v>1</v>
      </c>
      <c r="B58" s="3">
        <v>100</v>
      </c>
      <c r="C58" s="3">
        <v>1</v>
      </c>
      <c r="D58" s="3">
        <v>63108.898000000001</v>
      </c>
      <c r="E58" s="3">
        <v>11.711</v>
      </c>
      <c r="F58" s="3">
        <v>72</v>
      </c>
    </row>
    <row r="59" spans="1:6" x14ac:dyDescent="0.25">
      <c r="A59" s="3" t="s">
        <v>1</v>
      </c>
      <c r="B59" s="3">
        <v>100</v>
      </c>
      <c r="C59" s="3">
        <v>1</v>
      </c>
      <c r="D59" s="3">
        <v>63118.892</v>
      </c>
      <c r="E59" s="3">
        <v>11.776999999999999</v>
      </c>
      <c r="F59" s="3">
        <v>72</v>
      </c>
    </row>
    <row r="60" spans="1:6" x14ac:dyDescent="0.25">
      <c r="A60" s="3" t="s">
        <v>1</v>
      </c>
      <c r="B60" s="3">
        <v>100</v>
      </c>
      <c r="C60" s="3">
        <v>1</v>
      </c>
      <c r="D60" s="3">
        <v>63174.786</v>
      </c>
      <c r="E60" s="3">
        <v>11.776999999999999</v>
      </c>
      <c r="F60" s="3">
        <v>72</v>
      </c>
    </row>
    <row r="61" spans="1:6" x14ac:dyDescent="0.25">
      <c r="A61" s="3" t="s">
        <v>0</v>
      </c>
      <c r="B61" s="3">
        <v>25</v>
      </c>
      <c r="C61" s="3">
        <v>1</v>
      </c>
      <c r="D61" s="3">
        <v>723.52800000000002</v>
      </c>
      <c r="E61" s="3">
        <v>0.90300000000000002</v>
      </c>
      <c r="F61" s="3">
        <v>80</v>
      </c>
    </row>
    <row r="62" spans="1:6" x14ac:dyDescent="0.25">
      <c r="A62" s="3" t="s">
        <v>0</v>
      </c>
      <c r="B62" s="3">
        <v>25</v>
      </c>
      <c r="C62" s="3">
        <v>1</v>
      </c>
      <c r="D62" s="3">
        <v>723.95899999999995</v>
      </c>
      <c r="E62" s="3">
        <v>0.90200000000000002</v>
      </c>
      <c r="F62" s="3">
        <v>85</v>
      </c>
    </row>
    <row r="63" spans="1:6" x14ac:dyDescent="0.25">
      <c r="A63" s="3" t="s">
        <v>0</v>
      </c>
      <c r="B63" s="3">
        <v>25</v>
      </c>
      <c r="C63" s="3">
        <v>1</v>
      </c>
      <c r="D63" s="3">
        <v>723.83</v>
      </c>
      <c r="E63" s="3">
        <v>0.90400000000000003</v>
      </c>
      <c r="F63" s="3">
        <v>88</v>
      </c>
    </row>
    <row r="64" spans="1:6" x14ac:dyDescent="0.25">
      <c r="A64" s="3" t="s">
        <v>0</v>
      </c>
      <c r="B64" s="3">
        <v>25</v>
      </c>
      <c r="C64" s="3">
        <v>1</v>
      </c>
      <c r="D64" s="3">
        <v>722.96699999999998</v>
      </c>
      <c r="E64" s="3">
        <v>0.90400000000000003</v>
      </c>
      <c r="F64" s="3">
        <v>89</v>
      </c>
    </row>
    <row r="65" spans="1:6" x14ac:dyDescent="0.25">
      <c r="A65" s="3" t="s">
        <v>0</v>
      </c>
      <c r="B65" s="3">
        <v>25</v>
      </c>
      <c r="C65" s="3">
        <v>1</v>
      </c>
      <c r="D65" s="3">
        <v>723.12400000000002</v>
      </c>
      <c r="E65" s="3">
        <v>0.90900000000000003</v>
      </c>
      <c r="F65" s="3">
        <v>81</v>
      </c>
    </row>
    <row r="66" spans="1:6" x14ac:dyDescent="0.25">
      <c r="A66" s="3" t="s">
        <v>0</v>
      </c>
      <c r="B66" s="3">
        <v>25</v>
      </c>
      <c r="C66" s="3">
        <v>1</v>
      </c>
      <c r="D66" s="3">
        <v>723.65899999999999</v>
      </c>
      <c r="E66" s="3">
        <v>0.90300000000000002</v>
      </c>
      <c r="F66" s="3">
        <v>85</v>
      </c>
    </row>
    <row r="67" spans="1:6" x14ac:dyDescent="0.25">
      <c r="A67" s="3" t="s">
        <v>0</v>
      </c>
      <c r="B67" s="3">
        <v>25</v>
      </c>
      <c r="C67" s="3">
        <v>1</v>
      </c>
      <c r="D67" s="3">
        <v>723.55399999999997</v>
      </c>
      <c r="E67" s="3">
        <v>0.90700000000000003</v>
      </c>
      <c r="F67" s="3">
        <v>78</v>
      </c>
    </row>
    <row r="68" spans="1:6" x14ac:dyDescent="0.25">
      <c r="A68" s="3" t="s">
        <v>0</v>
      </c>
      <c r="B68" s="3">
        <v>25</v>
      </c>
      <c r="C68" s="3">
        <v>1</v>
      </c>
      <c r="D68" s="3">
        <v>723.56899999999996</v>
      </c>
      <c r="E68" s="3">
        <v>0.90100000000000002</v>
      </c>
      <c r="F68" s="3">
        <v>90</v>
      </c>
    </row>
    <row r="69" spans="1:6" x14ac:dyDescent="0.25">
      <c r="A69" s="3" t="s">
        <v>0</v>
      </c>
      <c r="B69" s="3">
        <v>25</v>
      </c>
      <c r="C69" s="3">
        <v>1</v>
      </c>
      <c r="D69" s="3">
        <v>722.98599999999999</v>
      </c>
      <c r="E69" s="3">
        <v>0.90600000000000003</v>
      </c>
      <c r="F69" s="3">
        <v>82</v>
      </c>
    </row>
    <row r="70" spans="1:6" x14ac:dyDescent="0.25">
      <c r="A70" s="3" t="s">
        <v>0</v>
      </c>
      <c r="B70" s="3">
        <v>25</v>
      </c>
      <c r="C70" s="3">
        <v>1</v>
      </c>
      <c r="D70" s="3">
        <v>723.14599999999996</v>
      </c>
      <c r="E70" s="3">
        <v>0.90600000000000003</v>
      </c>
      <c r="F70" s="3">
        <v>84</v>
      </c>
    </row>
    <row r="71" spans="1:6" x14ac:dyDescent="0.25">
      <c r="A71" s="3" t="s">
        <v>0</v>
      </c>
      <c r="B71" s="3">
        <v>50</v>
      </c>
      <c r="C71" s="3">
        <v>1</v>
      </c>
      <c r="D71" s="3">
        <v>1572.79</v>
      </c>
      <c r="E71" s="3">
        <v>3.395</v>
      </c>
      <c r="F71" s="3">
        <v>85</v>
      </c>
    </row>
    <row r="72" spans="1:6" x14ac:dyDescent="0.25">
      <c r="A72" s="3" t="s">
        <v>0</v>
      </c>
      <c r="B72" s="3">
        <v>50</v>
      </c>
      <c r="C72" s="3">
        <v>1</v>
      </c>
      <c r="D72" s="3">
        <v>1574.636</v>
      </c>
      <c r="E72" s="3">
        <v>3.3679999999999999</v>
      </c>
      <c r="F72" s="3">
        <v>83</v>
      </c>
    </row>
    <row r="73" spans="1:6" x14ac:dyDescent="0.25">
      <c r="A73" s="3" t="s">
        <v>0</v>
      </c>
      <c r="B73" s="3">
        <v>50</v>
      </c>
      <c r="C73" s="3">
        <v>1</v>
      </c>
      <c r="D73" s="3">
        <v>1573.605</v>
      </c>
      <c r="E73" s="3">
        <v>3.37</v>
      </c>
      <c r="F73" s="3">
        <v>84</v>
      </c>
    </row>
    <row r="74" spans="1:6" x14ac:dyDescent="0.25">
      <c r="A74" s="3" t="s">
        <v>0</v>
      </c>
      <c r="B74" s="3">
        <v>50</v>
      </c>
      <c r="C74" s="3">
        <v>1</v>
      </c>
      <c r="D74" s="3">
        <v>1572.759</v>
      </c>
      <c r="E74" s="3">
        <v>3.3679999999999999</v>
      </c>
      <c r="F74" s="3">
        <v>81</v>
      </c>
    </row>
    <row r="75" spans="1:6" x14ac:dyDescent="0.25">
      <c r="A75" s="3" t="s">
        <v>0</v>
      </c>
      <c r="B75" s="3">
        <v>50</v>
      </c>
      <c r="C75" s="3">
        <v>1</v>
      </c>
      <c r="D75" s="3">
        <v>1573.9359999999999</v>
      </c>
      <c r="E75" s="3">
        <v>3.3780000000000001</v>
      </c>
      <c r="F75" s="3">
        <v>86</v>
      </c>
    </row>
    <row r="76" spans="1:6" x14ac:dyDescent="0.25">
      <c r="A76" s="3" t="s">
        <v>0</v>
      </c>
      <c r="B76" s="3">
        <v>50</v>
      </c>
      <c r="C76" s="3">
        <v>1</v>
      </c>
      <c r="D76" s="3">
        <v>1572.414</v>
      </c>
      <c r="E76" s="3">
        <v>3.371</v>
      </c>
      <c r="F76" s="3">
        <v>84</v>
      </c>
    </row>
    <row r="77" spans="1:6" x14ac:dyDescent="0.25">
      <c r="A77" s="3" t="s">
        <v>0</v>
      </c>
      <c r="B77" s="3">
        <v>50</v>
      </c>
      <c r="C77" s="3">
        <v>1</v>
      </c>
      <c r="D77" s="3">
        <v>1572.8989999999999</v>
      </c>
      <c r="E77" s="3">
        <v>3.3849999999999998</v>
      </c>
      <c r="F77" s="3">
        <v>85</v>
      </c>
    </row>
    <row r="78" spans="1:6" x14ac:dyDescent="0.25">
      <c r="A78" s="3" t="s">
        <v>0</v>
      </c>
      <c r="B78" s="3">
        <v>50</v>
      </c>
      <c r="C78" s="3">
        <v>1</v>
      </c>
      <c r="D78" s="3">
        <v>1571.376</v>
      </c>
      <c r="E78" s="3">
        <v>3.3759999999999999</v>
      </c>
      <c r="F78" s="3">
        <v>84</v>
      </c>
    </row>
    <row r="79" spans="1:6" x14ac:dyDescent="0.25">
      <c r="A79" s="3" t="s">
        <v>0</v>
      </c>
      <c r="B79" s="3">
        <v>50</v>
      </c>
      <c r="C79" s="3">
        <v>1</v>
      </c>
      <c r="D79" s="3">
        <v>1572.386</v>
      </c>
      <c r="E79" s="3">
        <v>3.383</v>
      </c>
      <c r="F79" s="3">
        <v>86</v>
      </c>
    </row>
    <row r="80" spans="1:6" x14ac:dyDescent="0.25">
      <c r="A80" s="3" t="s">
        <v>0</v>
      </c>
      <c r="B80" s="3">
        <v>50</v>
      </c>
      <c r="C80" s="3">
        <v>1</v>
      </c>
      <c r="D80" s="3">
        <v>1571.962</v>
      </c>
      <c r="E80" s="3">
        <v>3.37</v>
      </c>
      <c r="F80" s="3">
        <v>84</v>
      </c>
    </row>
    <row r="81" spans="1:6" x14ac:dyDescent="0.25">
      <c r="A81" s="3" t="s">
        <v>0</v>
      </c>
      <c r="B81" s="3">
        <v>100</v>
      </c>
      <c r="C81" s="3">
        <v>1</v>
      </c>
      <c r="D81" s="3">
        <v>3310.6370000000002</v>
      </c>
      <c r="E81" s="3">
        <v>11.340999999999999</v>
      </c>
      <c r="F81" s="3">
        <v>69</v>
      </c>
    </row>
    <row r="82" spans="1:6" x14ac:dyDescent="0.25">
      <c r="A82" s="3" t="s">
        <v>0</v>
      </c>
      <c r="B82" s="3">
        <v>100</v>
      </c>
      <c r="C82" s="3">
        <v>1</v>
      </c>
      <c r="D82" s="3">
        <v>3334.1149999999998</v>
      </c>
      <c r="E82" s="3">
        <v>11.36</v>
      </c>
      <c r="F82" s="3">
        <v>69</v>
      </c>
    </row>
    <row r="83" spans="1:6" x14ac:dyDescent="0.25">
      <c r="A83" s="3" t="s">
        <v>0</v>
      </c>
      <c r="B83" s="3">
        <v>100</v>
      </c>
      <c r="C83" s="3">
        <v>1</v>
      </c>
      <c r="D83" s="3">
        <v>3334.7649999999999</v>
      </c>
      <c r="E83" s="3">
        <v>11.39</v>
      </c>
      <c r="F83" s="3">
        <v>70</v>
      </c>
    </row>
    <row r="84" spans="1:6" x14ac:dyDescent="0.25">
      <c r="A84" s="3" t="s">
        <v>0</v>
      </c>
      <c r="B84" s="3">
        <v>100</v>
      </c>
      <c r="C84" s="3">
        <v>1</v>
      </c>
      <c r="D84" s="3">
        <v>3326.482</v>
      </c>
      <c r="E84" s="3">
        <v>11.363</v>
      </c>
      <c r="F84" s="3">
        <v>69</v>
      </c>
    </row>
    <row r="85" spans="1:6" x14ac:dyDescent="0.25">
      <c r="A85" s="3" t="s">
        <v>0</v>
      </c>
      <c r="B85" s="3">
        <v>100</v>
      </c>
      <c r="C85" s="3">
        <v>1</v>
      </c>
      <c r="D85" s="3">
        <v>3321.1559999999999</v>
      </c>
      <c r="E85" s="3">
        <v>11.432</v>
      </c>
      <c r="F85" s="3">
        <v>69</v>
      </c>
    </row>
    <row r="86" spans="1:6" x14ac:dyDescent="0.25">
      <c r="A86" s="3" t="s">
        <v>0</v>
      </c>
      <c r="B86" s="3">
        <v>100</v>
      </c>
      <c r="C86" s="3">
        <v>1</v>
      </c>
      <c r="D86" s="3">
        <v>3328.3710000000001</v>
      </c>
      <c r="E86" s="3">
        <v>11.337999999999999</v>
      </c>
      <c r="F86" s="3">
        <v>68</v>
      </c>
    </row>
    <row r="87" spans="1:6" x14ac:dyDescent="0.25">
      <c r="A87" s="3" t="s">
        <v>0</v>
      </c>
      <c r="B87" s="3">
        <v>100</v>
      </c>
      <c r="C87" s="3">
        <v>1</v>
      </c>
      <c r="D87" s="3">
        <v>3319.223</v>
      </c>
      <c r="E87" s="3">
        <v>11.368</v>
      </c>
      <c r="F87" s="3">
        <v>69</v>
      </c>
    </row>
    <row r="88" spans="1:6" x14ac:dyDescent="0.25">
      <c r="A88" s="3" t="s">
        <v>0</v>
      </c>
      <c r="B88" s="3">
        <v>100</v>
      </c>
      <c r="C88" s="3">
        <v>1</v>
      </c>
      <c r="D88" s="3">
        <v>3334.944</v>
      </c>
      <c r="E88" s="3">
        <v>11.432</v>
      </c>
      <c r="F88" s="3">
        <v>68</v>
      </c>
    </row>
    <row r="89" spans="1:6" x14ac:dyDescent="0.25">
      <c r="A89" s="3" t="s">
        <v>0</v>
      </c>
      <c r="B89" s="3">
        <v>100</v>
      </c>
      <c r="C89" s="3">
        <v>1</v>
      </c>
      <c r="D89" s="3">
        <v>3332.6680000000001</v>
      </c>
      <c r="E89" s="3">
        <v>11.385999999999999</v>
      </c>
      <c r="F89" s="3">
        <v>69</v>
      </c>
    </row>
    <row r="90" spans="1:6" x14ac:dyDescent="0.25">
      <c r="A90" s="3" t="s">
        <v>0</v>
      </c>
      <c r="B90" s="3">
        <v>100</v>
      </c>
      <c r="C90" s="3">
        <v>1</v>
      </c>
      <c r="D90" s="3">
        <v>3337.3420000000001</v>
      </c>
      <c r="E90" s="3">
        <v>11.355</v>
      </c>
      <c r="F90" s="3">
        <v>69</v>
      </c>
    </row>
  </sheetData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0"/>
  <sheetViews>
    <sheetView zoomScale="85" zoomScaleNormal="85" workbookViewId="0">
      <selection sqref="A1:F91"/>
    </sheetView>
  </sheetViews>
  <sheetFormatPr defaultColWidth="9" defaultRowHeight="15" x14ac:dyDescent="0.25"/>
  <cols>
    <col min="1" max="1" width="9.875" style="3" customWidth="1"/>
    <col min="2" max="2" width="4.375" style="3" bestFit="1" customWidth="1"/>
    <col min="3" max="3" width="2.625" style="3" bestFit="1" customWidth="1"/>
    <col min="4" max="4" width="10.875" style="3" customWidth="1"/>
    <col min="5" max="5" width="7" style="3" bestFit="1" customWidth="1"/>
    <col min="6" max="6" width="4.375" style="3" bestFit="1" customWidth="1"/>
    <col min="7" max="7" width="2.25" style="3" customWidth="1"/>
    <col min="8" max="8" width="9.5" style="3" customWidth="1"/>
    <col min="9" max="9" width="4.375" style="3" bestFit="1" customWidth="1"/>
    <col min="10" max="10" width="3.125" style="3" bestFit="1" customWidth="1"/>
    <col min="11" max="11" width="2.125" style="3" customWidth="1"/>
    <col min="12" max="21" width="9" style="3"/>
    <col min="22" max="22" width="2.125" style="3" customWidth="1"/>
    <col min="23" max="23" width="9" style="3"/>
    <col min="24" max="24" width="2.5" style="3" customWidth="1"/>
    <col min="25" max="25" width="9" style="3"/>
    <col min="26" max="26" width="2.625" style="3" customWidth="1"/>
    <col min="27" max="27" width="2.5" style="3" customWidth="1"/>
    <col min="28" max="37" width="9" style="3"/>
    <col min="38" max="38" width="5.625" style="3" customWidth="1"/>
    <col min="39" max="16384" width="9" style="3"/>
  </cols>
  <sheetData>
    <row r="1" spans="1:39" x14ac:dyDescent="0.25">
      <c r="A1" s="3" t="s">
        <v>2</v>
      </c>
      <c r="B1" s="3">
        <v>24</v>
      </c>
      <c r="C1" s="3">
        <v>1</v>
      </c>
      <c r="D1" s="3">
        <v>55978</v>
      </c>
      <c r="E1" s="3">
        <v>1.2410000000000001</v>
      </c>
      <c r="F1" s="3">
        <v>113</v>
      </c>
      <c r="H1" s="5" t="s">
        <v>13</v>
      </c>
      <c r="I1" s="5" t="s">
        <v>14</v>
      </c>
      <c r="J1" s="5" t="s">
        <v>10</v>
      </c>
      <c r="K1" s="2"/>
      <c r="L1" s="2">
        <v>1</v>
      </c>
      <c r="M1" s="2">
        <v>2</v>
      </c>
      <c r="N1" s="2">
        <v>3</v>
      </c>
      <c r="O1" s="2">
        <v>4</v>
      </c>
      <c r="P1" s="2">
        <v>5</v>
      </c>
      <c r="Q1" s="2">
        <v>6</v>
      </c>
      <c r="R1" s="2">
        <v>7</v>
      </c>
      <c r="S1" s="2">
        <v>8</v>
      </c>
      <c r="T1" s="2">
        <v>9</v>
      </c>
      <c r="U1" s="2">
        <v>10</v>
      </c>
      <c r="W1" s="2" t="s">
        <v>11</v>
      </c>
      <c r="X1" s="2"/>
      <c r="Y1" s="2" t="s">
        <v>9</v>
      </c>
      <c r="Z1" s="2"/>
      <c r="AM1" s="5" t="s">
        <v>12</v>
      </c>
    </row>
    <row r="2" spans="1:39" x14ac:dyDescent="0.25">
      <c r="A2" s="3" t="s">
        <v>2</v>
      </c>
      <c r="B2" s="3">
        <v>24</v>
      </c>
      <c r="C2" s="3">
        <v>1</v>
      </c>
      <c r="D2" s="3">
        <v>55989.874000000003</v>
      </c>
      <c r="E2" s="3">
        <v>1.242</v>
      </c>
      <c r="F2" s="3">
        <v>120</v>
      </c>
      <c r="H2" s="3" t="s">
        <v>2</v>
      </c>
      <c r="I2" s="3">
        <v>24</v>
      </c>
      <c r="J2" s="3">
        <v>1</v>
      </c>
      <c r="L2" s="3">
        <f ca="1">INDIRECT("D"&amp;1+(ROW(D1)-1)*10+COLUMN(A1)-1)</f>
        <v>55978</v>
      </c>
      <c r="M2" s="3">
        <f t="shared" ref="M2:U10" ca="1" si="0">INDIRECT("D"&amp;1+(ROW(E1)-1)*10+COLUMN(B1)-1)</f>
        <v>55989.874000000003</v>
      </c>
      <c r="N2" s="3">
        <f t="shared" ca="1" si="0"/>
        <v>56018.34</v>
      </c>
      <c r="O2" s="3">
        <f t="shared" ca="1" si="0"/>
        <v>55972.258999999998</v>
      </c>
      <c r="P2" s="3">
        <f t="shared" ca="1" si="0"/>
        <v>55969.870999999999</v>
      </c>
      <c r="Q2" s="3">
        <f t="shared" ca="1" si="0"/>
        <v>55968.44</v>
      </c>
      <c r="R2" s="3">
        <f t="shared" ca="1" si="0"/>
        <v>55969.239000000001</v>
      </c>
      <c r="S2" s="3">
        <f t="shared" ca="1" si="0"/>
        <v>56024.417000000001</v>
      </c>
      <c r="T2" s="3">
        <f t="shared" ca="1" si="0"/>
        <v>55947.434000000001</v>
      </c>
      <c r="U2" s="3">
        <f t="shared" ca="1" si="0"/>
        <v>55967.851000000002</v>
      </c>
      <c r="W2" s="3">
        <f ca="1">AVERAGE(L2:U2)</f>
        <v>55980.572499999995</v>
      </c>
      <c r="Y2" s="3">
        <f ca="1">Total!E2</f>
        <v>55722.476000000002</v>
      </c>
      <c r="AB2" s="3">
        <f t="shared" ref="AB2:AK10" ca="1" si="1">(L2-$Y2)/$Y2</f>
        <v>4.5856540904606899E-3</v>
      </c>
      <c r="AC2" s="3">
        <f t="shared" ca="1" si="1"/>
        <v>4.7987458418036026E-3</v>
      </c>
      <c r="AD2" s="3">
        <f t="shared" ca="1" si="1"/>
        <v>5.3095989489051797E-3</v>
      </c>
      <c r="AE2" s="3">
        <f t="shared" ca="1" si="1"/>
        <v>4.4826256464266913E-3</v>
      </c>
      <c r="AF2" s="3">
        <f t="shared" ca="1" si="1"/>
        <v>4.439770407905004E-3</v>
      </c>
      <c r="AG2" s="3">
        <f t="shared" ca="1" si="1"/>
        <v>4.4140895677356462E-3</v>
      </c>
      <c r="AH2" s="3">
        <f t="shared" ca="1" si="1"/>
        <v>4.4284284854822133E-3</v>
      </c>
      <c r="AI2" s="3">
        <f t="shared" ca="1" si="1"/>
        <v>5.4186572757463055E-3</v>
      </c>
      <c r="AJ2" s="3">
        <f t="shared" ca="1" si="1"/>
        <v>4.0371142158147945E-3</v>
      </c>
      <c r="AK2" s="3">
        <f t="shared" ca="1" si="1"/>
        <v>4.4035193267434845E-3</v>
      </c>
      <c r="AM2" s="3">
        <f ca="1">SUM(AB2:AK2)</f>
        <v>4.6318203807023617E-2</v>
      </c>
    </row>
    <row r="3" spans="1:39" x14ac:dyDescent="0.25">
      <c r="A3" s="3" t="s">
        <v>2</v>
      </c>
      <c r="B3" s="3">
        <v>24</v>
      </c>
      <c r="C3" s="3">
        <v>1</v>
      </c>
      <c r="D3" s="3">
        <v>56018.34</v>
      </c>
      <c r="E3" s="3">
        <v>1.2390000000000001</v>
      </c>
      <c r="F3" s="3">
        <v>128</v>
      </c>
      <c r="H3" s="3" t="s">
        <v>2</v>
      </c>
      <c r="I3" s="3">
        <v>47</v>
      </c>
      <c r="J3" s="3">
        <v>1</v>
      </c>
      <c r="L3" s="3">
        <f t="shared" ref="L3:L10" ca="1" si="2">INDIRECT("D"&amp;1+(ROW(D2)-1)*10+COLUMN(A2)-1)</f>
        <v>126434.92600000001</v>
      </c>
      <c r="M3" s="3">
        <f t="shared" ca="1" si="0"/>
        <v>126242.277</v>
      </c>
      <c r="N3" s="3">
        <f t="shared" ca="1" si="0"/>
        <v>126186.685</v>
      </c>
      <c r="O3" s="3">
        <f t="shared" ca="1" si="0"/>
        <v>126238.827</v>
      </c>
      <c r="P3" s="3">
        <f t="shared" ca="1" si="0"/>
        <v>126306.09299999999</v>
      </c>
      <c r="Q3" s="3">
        <f t="shared" ca="1" si="0"/>
        <v>126160.198</v>
      </c>
      <c r="R3" s="3">
        <f t="shared" ca="1" si="0"/>
        <v>126239.73</v>
      </c>
      <c r="S3" s="3">
        <f t="shared" ca="1" si="0"/>
        <v>126309.367</v>
      </c>
      <c r="T3" s="3">
        <f t="shared" ca="1" si="0"/>
        <v>126234.82</v>
      </c>
      <c r="U3" s="3">
        <f t="shared" ca="1" si="0"/>
        <v>126254.674</v>
      </c>
      <c r="W3" s="3">
        <f t="shared" ref="W3:W10" ca="1" si="3">AVERAGE(L3:U3)</f>
        <v>126260.75970000001</v>
      </c>
      <c r="Y3" s="3">
        <f ca="1">Total!E3</f>
        <v>126021.209</v>
      </c>
      <c r="AB3" s="3">
        <f t="shared" ca="1" si="1"/>
        <v>3.2829156558877655E-3</v>
      </c>
      <c r="AC3" s="3">
        <f t="shared" ca="1" si="1"/>
        <v>1.7542126579661627E-3</v>
      </c>
      <c r="AD3" s="3">
        <f t="shared" ca="1" si="1"/>
        <v>1.3130805624948028E-3</v>
      </c>
      <c r="AE3" s="3">
        <f t="shared" ca="1" si="1"/>
        <v>1.7268363137192422E-3</v>
      </c>
      <c r="AF3" s="3">
        <f t="shared" ca="1" si="1"/>
        <v>2.2606036099843394E-3</v>
      </c>
      <c r="AG3" s="3">
        <f t="shared" ca="1" si="1"/>
        <v>1.1029016552285369E-3</v>
      </c>
      <c r="AH3" s="3">
        <f t="shared" ca="1" si="1"/>
        <v>1.7340017742568505E-3</v>
      </c>
      <c r="AI3" s="3">
        <f t="shared" ca="1" si="1"/>
        <v>2.2865833639161151E-3</v>
      </c>
      <c r="AJ3" s="3">
        <f t="shared" ca="1" si="1"/>
        <v>1.695040078531578E-3</v>
      </c>
      <c r="AK3" s="3">
        <f t="shared" ca="1" si="1"/>
        <v>1.8525849882934904E-3</v>
      </c>
      <c r="AM3" s="3">
        <f t="shared" ref="AM3:AM10" ca="1" si="4">SUM(AB3:AK3)</f>
        <v>1.9008760660278883E-2</v>
      </c>
    </row>
    <row r="4" spans="1:39" x14ac:dyDescent="0.25">
      <c r="A4" s="3" t="s">
        <v>2</v>
      </c>
      <c r="B4" s="3">
        <v>24</v>
      </c>
      <c r="C4" s="3">
        <v>1</v>
      </c>
      <c r="D4" s="3">
        <v>55972.258999999998</v>
      </c>
      <c r="E4" s="3">
        <v>1.242</v>
      </c>
      <c r="F4" s="3">
        <v>126</v>
      </c>
      <c r="H4" s="3" t="s">
        <v>2</v>
      </c>
      <c r="I4" s="3">
        <v>100</v>
      </c>
      <c r="J4" s="3">
        <v>1</v>
      </c>
      <c r="L4" s="3">
        <f t="shared" ca="1" si="2"/>
        <v>1216762.493</v>
      </c>
      <c r="M4" s="3">
        <f t="shared" ca="1" si="0"/>
        <v>1217037.436</v>
      </c>
      <c r="N4" s="3">
        <f t="shared" ca="1" si="0"/>
        <v>1216995.365</v>
      </c>
      <c r="O4" s="3">
        <f t="shared" ca="1" si="0"/>
        <v>1216633.9439999999</v>
      </c>
      <c r="P4" s="3">
        <f t="shared" ca="1" si="0"/>
        <v>1217233.047</v>
      </c>
      <c r="Q4" s="3">
        <f t="shared" ca="1" si="0"/>
        <v>1217049.6259999999</v>
      </c>
      <c r="R4" s="3">
        <f t="shared" ca="1" si="0"/>
        <v>1216731.2790000001</v>
      </c>
      <c r="S4" s="3">
        <f t="shared" ca="1" si="0"/>
        <v>1217631.2339999999</v>
      </c>
      <c r="T4" s="3">
        <f t="shared" ca="1" si="0"/>
        <v>1217081.4550000001</v>
      </c>
      <c r="U4" s="3">
        <f t="shared" ca="1" si="0"/>
        <v>1216607.102</v>
      </c>
      <c r="W4" s="3">
        <f t="shared" ca="1" si="3"/>
        <v>1216976.2981</v>
      </c>
      <c r="Y4" s="3">
        <f ca="1">Total!E4</f>
        <v>1216556.6340000001</v>
      </c>
      <c r="AB4" s="3">
        <f t="shared" ca="1" si="1"/>
        <v>1.6921448146896425E-4</v>
      </c>
      <c r="AC4" s="3">
        <f t="shared" ca="1" si="1"/>
        <v>3.9521546844806298E-4</v>
      </c>
      <c r="AD4" s="3">
        <f t="shared" ca="1" si="1"/>
        <v>3.6063343681533235E-4</v>
      </c>
      <c r="AE4" s="3">
        <f t="shared" ca="1" si="1"/>
        <v>6.3548212914371432E-5</v>
      </c>
      <c r="AF4" s="3">
        <f t="shared" ca="1" si="1"/>
        <v>5.5600617439067958E-4</v>
      </c>
      <c r="AG4" s="3">
        <f t="shared" ca="1" si="1"/>
        <v>4.0523555272466898E-4</v>
      </c>
      <c r="AH4" s="3">
        <f t="shared" ca="1" si="1"/>
        <v>1.4355681858048099E-4</v>
      </c>
      <c r="AI4" s="3">
        <f t="shared" ca="1" si="1"/>
        <v>8.8331276158234344E-4</v>
      </c>
      <c r="AJ4" s="3">
        <f t="shared" ca="1" si="1"/>
        <v>4.3139874078397918E-4</v>
      </c>
      <c r="AK4" s="3">
        <f t="shared" ca="1" si="1"/>
        <v>4.1484299694244293E-5</v>
      </c>
      <c r="AM4" s="3">
        <f t="shared" ca="1" si="4"/>
        <v>3.4496059474031279E-3</v>
      </c>
    </row>
    <row r="5" spans="1:39" x14ac:dyDescent="0.25">
      <c r="A5" s="3" t="s">
        <v>2</v>
      </c>
      <c r="B5" s="3">
        <v>24</v>
      </c>
      <c r="C5" s="3">
        <v>1</v>
      </c>
      <c r="D5" s="3">
        <v>55969.870999999999</v>
      </c>
      <c r="E5" s="3">
        <v>1.24</v>
      </c>
      <c r="F5" s="3">
        <v>122</v>
      </c>
      <c r="H5" s="3" t="s">
        <v>1</v>
      </c>
      <c r="I5" s="3">
        <v>30</v>
      </c>
      <c r="J5" s="3">
        <v>1</v>
      </c>
      <c r="L5" s="3">
        <f t="shared" ca="1" si="2"/>
        <v>20008.802</v>
      </c>
      <c r="M5" s="3">
        <f t="shared" ca="1" si="0"/>
        <v>20000.094000000001</v>
      </c>
      <c r="N5" s="3">
        <f t="shared" ca="1" si="0"/>
        <v>19995.741000000002</v>
      </c>
      <c r="O5" s="3">
        <f t="shared" ca="1" si="0"/>
        <v>19983.690999999999</v>
      </c>
      <c r="P5" s="3">
        <f t="shared" ca="1" si="0"/>
        <v>19993.406999999999</v>
      </c>
      <c r="Q5" s="3">
        <f t="shared" ca="1" si="0"/>
        <v>20007.183000000001</v>
      </c>
      <c r="R5" s="3">
        <f t="shared" ca="1" si="0"/>
        <v>19969.536</v>
      </c>
      <c r="S5" s="3">
        <f t="shared" ca="1" si="0"/>
        <v>19997.724999999999</v>
      </c>
      <c r="T5" s="3">
        <f t="shared" ca="1" si="0"/>
        <v>20025.055</v>
      </c>
      <c r="U5" s="3">
        <f t="shared" ca="1" si="0"/>
        <v>20010.196</v>
      </c>
      <c r="W5" s="3">
        <f t="shared" ca="1" si="3"/>
        <v>19999.143000000004</v>
      </c>
      <c r="Y5" s="3">
        <f ca="1">Total!E5</f>
        <v>19969.536</v>
      </c>
      <c r="AB5" s="3">
        <f t="shared" ca="1" si="1"/>
        <v>1.9662950606363421E-3</v>
      </c>
      <c r="AC5" s="3">
        <f t="shared" ca="1" si="1"/>
        <v>1.5302308476271508E-3</v>
      </c>
      <c r="AD5" s="3">
        <f t="shared" ca="1" si="1"/>
        <v>1.3122488173987492E-3</v>
      </c>
      <c r="AE5" s="3">
        <f t="shared" ca="1" si="1"/>
        <v>7.0882968938280964E-4</v>
      </c>
      <c r="AF5" s="3">
        <f t="shared" ca="1" si="1"/>
        <v>1.1953707887854372E-3</v>
      </c>
      <c r="AG5" s="3">
        <f t="shared" ca="1" si="1"/>
        <v>1.8852215694946965E-3</v>
      </c>
      <c r="AH5" s="3">
        <f t="shared" ca="1" si="1"/>
        <v>0</v>
      </c>
      <c r="AI5" s="3">
        <f t="shared" ca="1" si="1"/>
        <v>1.4116001493474104E-3</v>
      </c>
      <c r="AJ5" s="3">
        <f t="shared" ca="1" si="1"/>
        <v>2.780184777453028E-3</v>
      </c>
      <c r="AK5" s="3">
        <f t="shared" ca="1" si="1"/>
        <v>2.0361013896366873E-3</v>
      </c>
      <c r="AM5" s="3">
        <f t="shared" ca="1" si="4"/>
        <v>1.4826083089762311E-2</v>
      </c>
    </row>
    <row r="6" spans="1:39" x14ac:dyDescent="0.25">
      <c r="A6" s="3" t="s">
        <v>2</v>
      </c>
      <c r="B6" s="3">
        <v>24</v>
      </c>
      <c r="C6" s="3">
        <v>1</v>
      </c>
      <c r="D6" s="3">
        <v>55968.44</v>
      </c>
      <c r="E6" s="3">
        <v>1.236</v>
      </c>
      <c r="F6" s="3">
        <v>131</v>
      </c>
      <c r="H6" s="3" t="s">
        <v>1</v>
      </c>
      <c r="I6" s="3">
        <v>50</v>
      </c>
      <c r="J6" s="3">
        <v>1</v>
      </c>
      <c r="L6" s="3">
        <f t="shared" ca="1" si="2"/>
        <v>35326.732000000004</v>
      </c>
      <c r="M6" s="3">
        <f t="shared" ca="1" si="0"/>
        <v>35341.39</v>
      </c>
      <c r="N6" s="3">
        <f t="shared" ca="1" si="0"/>
        <v>35311.436999999998</v>
      </c>
      <c r="O6" s="3">
        <f t="shared" ca="1" si="0"/>
        <v>35386.241999999998</v>
      </c>
      <c r="P6" s="3">
        <f t="shared" ca="1" si="0"/>
        <v>35307.175000000003</v>
      </c>
      <c r="Q6" s="3">
        <f t="shared" ca="1" si="0"/>
        <v>35315.856</v>
      </c>
      <c r="R6" s="3">
        <f t="shared" ca="1" si="0"/>
        <v>35334.332999999999</v>
      </c>
      <c r="S6" s="3">
        <f t="shared" ca="1" si="0"/>
        <v>35402.58</v>
      </c>
      <c r="T6" s="3">
        <f t="shared" ca="1" si="0"/>
        <v>35401.279999999999</v>
      </c>
      <c r="U6" s="3">
        <f t="shared" ca="1" si="0"/>
        <v>35278.896000000001</v>
      </c>
      <c r="W6" s="3">
        <f t="shared" ca="1" si="3"/>
        <v>35340.592100000002</v>
      </c>
      <c r="Y6" s="3">
        <f ca="1">Total!E6</f>
        <v>35277.981</v>
      </c>
      <c r="AB6" s="3">
        <f t="shared" ca="1" si="1"/>
        <v>1.3819101495633733E-3</v>
      </c>
      <c r="AC6" s="3">
        <f t="shared" ca="1" si="1"/>
        <v>1.7974101182264271E-3</v>
      </c>
      <c r="AD6" s="3">
        <f t="shared" ca="1" si="1"/>
        <v>9.4835359200398433E-4</v>
      </c>
      <c r="AE6" s="3">
        <f t="shared" ca="1" si="1"/>
        <v>3.068798069821473E-3</v>
      </c>
      <c r="AF6" s="3">
        <f t="shared" ca="1" si="1"/>
        <v>8.2754168953158471E-4</v>
      </c>
      <c r="AG6" s="3">
        <f t="shared" ca="1" si="1"/>
        <v>1.0736158625404327E-3</v>
      </c>
      <c r="AH6" s="3">
        <f t="shared" ca="1" si="1"/>
        <v>1.5973703256997318E-3</v>
      </c>
      <c r="AI6" s="3">
        <f t="shared" ca="1" si="1"/>
        <v>3.5319198113974259E-3</v>
      </c>
      <c r="AJ6" s="3">
        <f t="shared" ca="1" si="1"/>
        <v>3.4950696299768137E-3</v>
      </c>
      <c r="AK6" s="3">
        <f t="shared" ca="1" si="1"/>
        <v>2.593685846139758E-5</v>
      </c>
      <c r="AM6" s="3">
        <f t="shared" ca="1" si="4"/>
        <v>1.7747926107222645E-2</v>
      </c>
    </row>
    <row r="7" spans="1:39" x14ac:dyDescent="0.25">
      <c r="A7" s="3" t="s">
        <v>2</v>
      </c>
      <c r="B7" s="3">
        <v>24</v>
      </c>
      <c r="C7" s="3">
        <v>1</v>
      </c>
      <c r="D7" s="3">
        <v>55969.239000000001</v>
      </c>
      <c r="E7" s="3">
        <v>1.2370000000000001</v>
      </c>
      <c r="F7" s="3">
        <v>122</v>
      </c>
      <c r="H7" s="3" t="s">
        <v>1</v>
      </c>
      <c r="I7" s="3">
        <v>100</v>
      </c>
      <c r="J7" s="3">
        <v>1</v>
      </c>
      <c r="L7" s="3">
        <f t="shared" ca="1" si="2"/>
        <v>63125.074999999997</v>
      </c>
      <c r="M7" s="3">
        <f t="shared" ca="1" si="0"/>
        <v>63173.250999999997</v>
      </c>
      <c r="N7" s="3">
        <f t="shared" ca="1" si="0"/>
        <v>63194.05</v>
      </c>
      <c r="O7" s="3">
        <f t="shared" ca="1" si="0"/>
        <v>63145.343000000001</v>
      </c>
      <c r="P7" s="3">
        <f t="shared" ca="1" si="0"/>
        <v>63196.415000000001</v>
      </c>
      <c r="Q7" s="3">
        <f t="shared" ca="1" si="0"/>
        <v>63156.296999999999</v>
      </c>
      <c r="R7" s="3">
        <f t="shared" ca="1" si="0"/>
        <v>63059.033000000003</v>
      </c>
      <c r="S7" s="3">
        <f t="shared" ca="1" si="0"/>
        <v>63147.273999999998</v>
      </c>
      <c r="T7" s="3">
        <f t="shared" ca="1" si="0"/>
        <v>63134.419000000002</v>
      </c>
      <c r="U7" s="3">
        <f t="shared" ca="1" si="0"/>
        <v>63149.498</v>
      </c>
      <c r="W7" s="3">
        <f t="shared" ca="1" si="3"/>
        <v>63148.065500000004</v>
      </c>
      <c r="Y7" s="3">
        <f ca="1">Total!E7</f>
        <v>63035.512000000002</v>
      </c>
      <c r="AB7" s="3">
        <f t="shared" ca="1" si="1"/>
        <v>1.420834021305239E-3</v>
      </c>
      <c r="AC7" s="3">
        <f t="shared" ca="1" si="1"/>
        <v>2.1851016296971478E-3</v>
      </c>
      <c r="AD7" s="3">
        <f t="shared" ca="1" si="1"/>
        <v>2.51505849591577E-3</v>
      </c>
      <c r="AE7" s="3">
        <f t="shared" ca="1" si="1"/>
        <v>1.742367064457227E-3</v>
      </c>
      <c r="AF7" s="3">
        <f t="shared" ca="1" si="1"/>
        <v>2.5525770299128915E-3</v>
      </c>
      <c r="AG7" s="3">
        <f t="shared" ca="1" si="1"/>
        <v>1.9161421263619817E-3</v>
      </c>
      <c r="AH7" s="3">
        <f t="shared" ca="1" si="1"/>
        <v>3.7313887448079487E-4</v>
      </c>
      <c r="AI7" s="3">
        <f t="shared" ca="1" si="1"/>
        <v>1.773000590524198E-3</v>
      </c>
      <c r="AJ7" s="3">
        <f t="shared" ca="1" si="1"/>
        <v>1.5690679247596061E-3</v>
      </c>
      <c r="AK7" s="3">
        <f t="shared" ca="1" si="1"/>
        <v>1.8082822901477685E-3</v>
      </c>
      <c r="AM7" s="3">
        <f t="shared" ca="1" si="4"/>
        <v>1.7855570047562622E-2</v>
      </c>
    </row>
    <row r="8" spans="1:39" x14ac:dyDescent="0.25">
      <c r="A8" s="3" t="s">
        <v>2</v>
      </c>
      <c r="B8" s="3">
        <v>24</v>
      </c>
      <c r="C8" s="3">
        <v>1</v>
      </c>
      <c r="D8" s="3">
        <v>56024.417000000001</v>
      </c>
      <c r="E8" s="3">
        <v>1.2350000000000001</v>
      </c>
      <c r="F8" s="3">
        <v>133</v>
      </c>
      <c r="H8" s="3" t="s">
        <v>0</v>
      </c>
      <c r="I8" s="3">
        <v>25</v>
      </c>
      <c r="J8" s="3">
        <v>1</v>
      </c>
      <c r="L8" s="3">
        <f t="shared" ca="1" si="2"/>
        <v>723.54399999999998</v>
      </c>
      <c r="M8" s="3">
        <f t="shared" ca="1" si="0"/>
        <v>723.12400000000002</v>
      </c>
      <c r="N8" s="3">
        <f t="shared" ca="1" si="0"/>
        <v>723.71600000000001</v>
      </c>
      <c r="O8" s="3">
        <f t="shared" ca="1" si="0"/>
        <v>723.82899999999995</v>
      </c>
      <c r="P8" s="3">
        <f t="shared" ca="1" si="0"/>
        <v>723.36199999999997</v>
      </c>
      <c r="Q8" s="3">
        <f t="shared" ca="1" si="0"/>
        <v>723.75300000000004</v>
      </c>
      <c r="R8" s="3">
        <f t="shared" ca="1" si="0"/>
        <v>722.96699999999998</v>
      </c>
      <c r="S8" s="3">
        <f t="shared" ca="1" si="0"/>
        <v>723.56500000000005</v>
      </c>
      <c r="T8" s="3">
        <f t="shared" ca="1" si="0"/>
        <v>723.55899999999997</v>
      </c>
      <c r="U8" s="3">
        <f t="shared" ca="1" si="0"/>
        <v>723.31700000000001</v>
      </c>
      <c r="W8" s="3">
        <f t="shared" ca="1" si="3"/>
        <v>723.47359999999992</v>
      </c>
      <c r="Y8" s="3">
        <f ca="1">Total!E8</f>
        <v>722.92</v>
      </c>
      <c r="AB8" s="3">
        <f t="shared" ca="1" si="1"/>
        <v>8.6316604880211324E-4</v>
      </c>
      <c r="AC8" s="3">
        <f t="shared" ca="1" si="1"/>
        <v>2.8218890057000025E-4</v>
      </c>
      <c r="AD8" s="3">
        <f t="shared" ca="1" si="1"/>
        <v>1.1010900237924655E-3</v>
      </c>
      <c r="AE8" s="3">
        <f t="shared" ca="1" si="1"/>
        <v>1.2574005422453271E-3</v>
      </c>
      <c r="AF8" s="3">
        <f t="shared" ca="1" si="1"/>
        <v>6.1140928456815044E-4</v>
      </c>
      <c r="AG8" s="3">
        <f t="shared" ca="1" si="1"/>
        <v>1.1522713439939187E-3</v>
      </c>
      <c r="AH8" s="3">
        <f t="shared" ca="1" si="1"/>
        <v>6.5014109445063727E-5</v>
      </c>
      <c r="AI8" s="3">
        <f t="shared" ca="1" si="1"/>
        <v>8.9221490621382111E-4</v>
      </c>
      <c r="AJ8" s="3">
        <f t="shared" ca="1" si="1"/>
        <v>8.83915232667529E-4</v>
      </c>
      <c r="AK8" s="3">
        <f t="shared" ca="1" si="1"/>
        <v>5.4916173297190317E-4</v>
      </c>
      <c r="AM8" s="3">
        <f t="shared" ca="1" si="4"/>
        <v>7.6578321252702914E-3</v>
      </c>
    </row>
    <row r="9" spans="1:39" x14ac:dyDescent="0.25">
      <c r="A9" s="3" t="s">
        <v>2</v>
      </c>
      <c r="B9" s="3">
        <v>24</v>
      </c>
      <c r="C9" s="3">
        <v>1</v>
      </c>
      <c r="D9" s="3">
        <v>55947.434000000001</v>
      </c>
      <c r="E9" s="3">
        <v>1.2430000000000001</v>
      </c>
      <c r="F9" s="3">
        <v>129</v>
      </c>
      <c r="H9" s="3" t="s">
        <v>0</v>
      </c>
      <c r="I9" s="3">
        <v>50</v>
      </c>
      <c r="J9" s="3">
        <v>1</v>
      </c>
      <c r="L9" s="3">
        <f t="shared" ca="1" si="2"/>
        <v>1570.971</v>
      </c>
      <c r="M9" s="3">
        <f t="shared" ca="1" si="0"/>
        <v>1571.9110000000001</v>
      </c>
      <c r="N9" s="3">
        <f t="shared" ca="1" si="0"/>
        <v>1571.0440000000001</v>
      </c>
      <c r="O9" s="3">
        <f t="shared" ca="1" si="0"/>
        <v>1571.145</v>
      </c>
      <c r="P9" s="3">
        <f t="shared" ca="1" si="0"/>
        <v>1570.499</v>
      </c>
      <c r="Q9" s="3">
        <f t="shared" ca="1" si="0"/>
        <v>1571.3889999999999</v>
      </c>
      <c r="R9" s="3">
        <f t="shared" ca="1" si="0"/>
        <v>1571.38</v>
      </c>
      <c r="S9" s="3">
        <f t="shared" ca="1" si="0"/>
        <v>1571.7860000000001</v>
      </c>
      <c r="T9" s="3">
        <f t="shared" ca="1" si="0"/>
        <v>1570.952</v>
      </c>
      <c r="U9" s="3">
        <f t="shared" ca="1" si="0"/>
        <v>1571.4069999999999</v>
      </c>
      <c r="W9" s="3">
        <f t="shared" ca="1" si="3"/>
        <v>1571.2483999999999</v>
      </c>
      <c r="Y9" s="3">
        <f ca="1">Total!E9</f>
        <v>1570.17</v>
      </c>
      <c r="AB9" s="3">
        <f t="shared" ca="1" si="1"/>
        <v>5.1013584516321848E-4</v>
      </c>
      <c r="AC9" s="3">
        <f t="shared" ca="1" si="1"/>
        <v>1.1087971366157711E-3</v>
      </c>
      <c r="AD9" s="3">
        <f t="shared" ca="1" si="1"/>
        <v>5.5662762630799448E-4</v>
      </c>
      <c r="AE9" s="3">
        <f t="shared" ca="1" si="1"/>
        <v>6.2095187145335155E-4</v>
      </c>
      <c r="AF9" s="3">
        <f t="shared" ca="1" si="1"/>
        <v>2.0953145200834996E-4</v>
      </c>
      <c r="AG9" s="3">
        <f t="shared" ca="1" si="1"/>
        <v>7.7634905774522729E-4</v>
      </c>
      <c r="AH9" s="3">
        <f t="shared" ca="1" si="1"/>
        <v>7.7061719431656211E-4</v>
      </c>
      <c r="AI9" s="3">
        <f t="shared" ca="1" si="1"/>
        <v>1.0291879223268724E-3</v>
      </c>
      <c r="AJ9" s="3">
        <f t="shared" ca="1" si="1"/>
        <v>4.9803524459130248E-4</v>
      </c>
      <c r="AK9" s="3">
        <f t="shared" ca="1" si="1"/>
        <v>7.8781278460284725E-4</v>
      </c>
      <c r="AM9" s="3">
        <f t="shared" ca="1" si="4"/>
        <v>6.8680461351314972E-3</v>
      </c>
    </row>
    <row r="10" spans="1:39" x14ac:dyDescent="0.25">
      <c r="A10" s="3" t="s">
        <v>2</v>
      </c>
      <c r="B10" s="3">
        <v>24</v>
      </c>
      <c r="C10" s="3">
        <v>1</v>
      </c>
      <c r="D10" s="3">
        <v>55967.851000000002</v>
      </c>
      <c r="E10" s="3">
        <v>1.2370000000000001</v>
      </c>
      <c r="F10" s="3">
        <v>119</v>
      </c>
      <c r="H10" s="3" t="s">
        <v>28</v>
      </c>
      <c r="I10" s="3">
        <v>100</v>
      </c>
      <c r="J10" s="3">
        <v>1</v>
      </c>
      <c r="L10" s="3">
        <f t="shared" ca="1" si="2"/>
        <v>3291.2449999999999</v>
      </c>
      <c r="M10" s="3">
        <f t="shared" ca="1" si="0"/>
        <v>3292.0680000000002</v>
      </c>
      <c r="N10" s="3">
        <f t="shared" ca="1" si="0"/>
        <v>3294.83</v>
      </c>
      <c r="O10" s="3">
        <f t="shared" ca="1" si="0"/>
        <v>3323.1790000000001</v>
      </c>
      <c r="P10" s="3">
        <f t="shared" ca="1" si="0"/>
        <v>3305.348</v>
      </c>
      <c r="Q10" s="3">
        <f t="shared" ca="1" si="0"/>
        <v>3319.8249999999998</v>
      </c>
      <c r="R10" s="3">
        <f t="shared" ca="1" si="0"/>
        <v>3299.944</v>
      </c>
      <c r="S10" s="3">
        <f t="shared" ca="1" si="0"/>
        <v>3301.2020000000002</v>
      </c>
      <c r="T10" s="3">
        <f t="shared" ca="1" si="0"/>
        <v>3331.569</v>
      </c>
      <c r="U10" s="3">
        <f t="shared" ca="1" si="0"/>
        <v>3305.6129999999998</v>
      </c>
      <c r="W10" s="3">
        <f t="shared" ca="1" si="3"/>
        <v>3306.4822999999997</v>
      </c>
      <c r="Y10" s="3">
        <f ca="1">Total!E10</f>
        <v>3290.5340000000001</v>
      </c>
      <c r="AB10" s="3">
        <f t="shared" ca="1" si="1"/>
        <v>2.1607435145778325E-4</v>
      </c>
      <c r="AC10" s="3">
        <f t="shared" ca="1" si="1"/>
        <v>4.6618573155606522E-4</v>
      </c>
      <c r="AD10" s="3">
        <f t="shared" ca="1" si="1"/>
        <v>1.3055631699899839E-3</v>
      </c>
      <c r="AE10" s="3">
        <f t="shared" ca="1" si="1"/>
        <v>9.920882142533699E-3</v>
      </c>
      <c r="AF10" s="3">
        <f t="shared" ca="1" si="1"/>
        <v>4.5020048417672787E-3</v>
      </c>
      <c r="AG10" s="3">
        <f t="shared" ca="1" si="1"/>
        <v>8.9015946955721213E-3</v>
      </c>
      <c r="AH10" s="3">
        <f t="shared" ca="1" si="1"/>
        <v>2.8597182098710587E-3</v>
      </c>
      <c r="AI10" s="3">
        <f t="shared" ca="1" si="1"/>
        <v>3.2420269779920583E-3</v>
      </c>
      <c r="AJ10" s="3">
        <f t="shared" ca="1" si="1"/>
        <v>1.2470620270144558E-2</v>
      </c>
      <c r="AK10" s="3">
        <f t="shared" ca="1" si="1"/>
        <v>4.5825388827466064E-3</v>
      </c>
      <c r="AM10" s="3">
        <f t="shared" ca="1" si="4"/>
        <v>4.8467209273631212E-2</v>
      </c>
    </row>
    <row r="11" spans="1:39" x14ac:dyDescent="0.25">
      <c r="A11" s="3" t="s">
        <v>2</v>
      </c>
      <c r="B11" s="3">
        <v>47</v>
      </c>
      <c r="C11" s="3">
        <v>1</v>
      </c>
      <c r="D11" s="3">
        <v>126434.92600000001</v>
      </c>
      <c r="E11" s="3">
        <v>4.1609999999999996</v>
      </c>
      <c r="F11" s="3">
        <v>125</v>
      </c>
    </row>
    <row r="12" spans="1:39" x14ac:dyDescent="0.25">
      <c r="A12" s="3" t="s">
        <v>2</v>
      </c>
      <c r="B12" s="3">
        <v>47</v>
      </c>
      <c r="C12" s="3">
        <v>1</v>
      </c>
      <c r="D12" s="3">
        <v>126242.277</v>
      </c>
      <c r="E12" s="3">
        <v>4.1619999999999999</v>
      </c>
      <c r="F12" s="3">
        <v>126</v>
      </c>
    </row>
    <row r="13" spans="1:39" x14ac:dyDescent="0.25">
      <c r="A13" s="3" t="s">
        <v>2</v>
      </c>
      <c r="B13" s="3">
        <v>47</v>
      </c>
      <c r="C13" s="3">
        <v>1</v>
      </c>
      <c r="D13" s="3">
        <v>126186.685</v>
      </c>
      <c r="E13" s="3">
        <v>4.1429999999999998</v>
      </c>
      <c r="F13" s="3">
        <v>128</v>
      </c>
    </row>
    <row r="14" spans="1:39" x14ac:dyDescent="0.25">
      <c r="A14" s="3" t="s">
        <v>2</v>
      </c>
      <c r="B14" s="3">
        <v>47</v>
      </c>
      <c r="C14" s="3">
        <v>1</v>
      </c>
      <c r="D14" s="3">
        <v>126238.827</v>
      </c>
      <c r="E14" s="3">
        <v>4.16</v>
      </c>
      <c r="F14" s="3">
        <v>128</v>
      </c>
    </row>
    <row r="15" spans="1:39" x14ac:dyDescent="0.25">
      <c r="A15" s="3" t="s">
        <v>2</v>
      </c>
      <c r="B15" s="3">
        <v>47</v>
      </c>
      <c r="C15" s="3">
        <v>1</v>
      </c>
      <c r="D15" s="3">
        <v>126306.09299999999</v>
      </c>
      <c r="E15" s="3">
        <v>4.16</v>
      </c>
      <c r="F15" s="3">
        <v>128</v>
      </c>
    </row>
    <row r="16" spans="1:39" x14ac:dyDescent="0.25">
      <c r="A16" s="3" t="s">
        <v>2</v>
      </c>
      <c r="B16" s="3">
        <v>47</v>
      </c>
      <c r="C16" s="3">
        <v>1</v>
      </c>
      <c r="D16" s="3">
        <v>126160.198</v>
      </c>
      <c r="E16" s="3">
        <v>4.1529999999999996</v>
      </c>
      <c r="F16" s="3">
        <v>132</v>
      </c>
    </row>
    <row r="17" spans="1:6" x14ac:dyDescent="0.25">
      <c r="A17" s="3" t="s">
        <v>2</v>
      </c>
      <c r="B17" s="3">
        <v>47</v>
      </c>
      <c r="C17" s="3">
        <v>1</v>
      </c>
      <c r="D17" s="3">
        <v>126239.73</v>
      </c>
      <c r="E17" s="3">
        <v>4.1449999999999996</v>
      </c>
      <c r="F17" s="3">
        <v>128</v>
      </c>
    </row>
    <row r="18" spans="1:6" x14ac:dyDescent="0.25">
      <c r="A18" s="3" t="s">
        <v>2</v>
      </c>
      <c r="B18" s="3">
        <v>47</v>
      </c>
      <c r="C18" s="3">
        <v>1</v>
      </c>
      <c r="D18" s="3">
        <v>126309.367</v>
      </c>
      <c r="E18" s="3">
        <v>4.1420000000000003</v>
      </c>
      <c r="F18" s="3">
        <v>128</v>
      </c>
    </row>
    <row r="19" spans="1:6" x14ac:dyDescent="0.25">
      <c r="A19" s="3" t="s">
        <v>2</v>
      </c>
      <c r="B19" s="3">
        <v>47</v>
      </c>
      <c r="C19" s="3">
        <v>1</v>
      </c>
      <c r="D19" s="3">
        <v>126234.82</v>
      </c>
      <c r="E19" s="3">
        <v>4.1520000000000001</v>
      </c>
      <c r="F19" s="3">
        <v>128</v>
      </c>
    </row>
    <row r="20" spans="1:6" x14ac:dyDescent="0.25">
      <c r="A20" s="3" t="s">
        <v>2</v>
      </c>
      <c r="B20" s="3">
        <v>47</v>
      </c>
      <c r="C20" s="3">
        <v>1</v>
      </c>
      <c r="D20" s="3">
        <v>126254.674</v>
      </c>
      <c r="E20" s="3">
        <v>4.1630000000000003</v>
      </c>
      <c r="F20" s="3">
        <v>128</v>
      </c>
    </row>
    <row r="21" spans="1:6" x14ac:dyDescent="0.25">
      <c r="A21" s="3" t="s">
        <v>2</v>
      </c>
      <c r="B21" s="3">
        <v>100</v>
      </c>
      <c r="C21" s="3">
        <v>1</v>
      </c>
      <c r="D21" s="3">
        <v>1216762.493</v>
      </c>
      <c r="E21" s="3">
        <v>22.161999999999999</v>
      </c>
      <c r="F21" s="3">
        <v>131</v>
      </c>
    </row>
    <row r="22" spans="1:6" x14ac:dyDescent="0.25">
      <c r="A22" s="3" t="s">
        <v>2</v>
      </c>
      <c r="B22" s="3">
        <v>100</v>
      </c>
      <c r="C22" s="3">
        <v>1</v>
      </c>
      <c r="D22" s="3">
        <v>1217037.436</v>
      </c>
      <c r="E22" s="3">
        <v>22.177</v>
      </c>
      <c r="F22" s="3">
        <v>133</v>
      </c>
    </row>
    <row r="23" spans="1:6" x14ac:dyDescent="0.25">
      <c r="A23" s="3" t="s">
        <v>2</v>
      </c>
      <c r="B23" s="3">
        <v>100</v>
      </c>
      <c r="C23" s="3">
        <v>1</v>
      </c>
      <c r="D23" s="3">
        <v>1216995.365</v>
      </c>
      <c r="E23" s="3">
        <v>22.157</v>
      </c>
      <c r="F23" s="3">
        <v>127</v>
      </c>
    </row>
    <row r="24" spans="1:6" x14ac:dyDescent="0.25">
      <c r="A24" s="3" t="s">
        <v>2</v>
      </c>
      <c r="B24" s="3">
        <v>100</v>
      </c>
      <c r="C24" s="3">
        <v>1</v>
      </c>
      <c r="D24" s="3">
        <v>1216633.9439999999</v>
      </c>
      <c r="E24" s="3">
        <v>22.175999999999998</v>
      </c>
      <c r="F24" s="3">
        <v>132</v>
      </c>
    </row>
    <row r="25" spans="1:6" x14ac:dyDescent="0.25">
      <c r="A25" s="3" t="s">
        <v>2</v>
      </c>
      <c r="B25" s="3">
        <v>100</v>
      </c>
      <c r="C25" s="3">
        <v>1</v>
      </c>
      <c r="D25" s="3">
        <v>1217233.047</v>
      </c>
      <c r="E25" s="3">
        <v>22.102</v>
      </c>
      <c r="F25" s="3">
        <v>132</v>
      </c>
    </row>
    <row r="26" spans="1:6" x14ac:dyDescent="0.25">
      <c r="A26" s="3" t="s">
        <v>2</v>
      </c>
      <c r="B26" s="3">
        <v>100</v>
      </c>
      <c r="C26" s="3">
        <v>1</v>
      </c>
      <c r="D26" s="3">
        <v>1217049.6259999999</v>
      </c>
      <c r="E26" s="3">
        <v>22.111999999999998</v>
      </c>
      <c r="F26" s="3">
        <v>131</v>
      </c>
    </row>
    <row r="27" spans="1:6" x14ac:dyDescent="0.25">
      <c r="A27" s="3" t="s">
        <v>2</v>
      </c>
      <c r="B27" s="3">
        <v>100</v>
      </c>
      <c r="C27" s="3">
        <v>1</v>
      </c>
      <c r="D27" s="3">
        <v>1216731.2790000001</v>
      </c>
      <c r="E27" s="3">
        <v>22.071000000000002</v>
      </c>
      <c r="F27" s="3">
        <v>131</v>
      </c>
    </row>
    <row r="28" spans="1:6" x14ac:dyDescent="0.25">
      <c r="A28" s="3" t="s">
        <v>2</v>
      </c>
      <c r="B28" s="3">
        <v>100</v>
      </c>
      <c r="C28" s="3">
        <v>1</v>
      </c>
      <c r="D28" s="3">
        <v>1217631.2339999999</v>
      </c>
      <c r="E28" s="3">
        <v>22.096</v>
      </c>
      <c r="F28" s="3">
        <v>127</v>
      </c>
    </row>
    <row r="29" spans="1:6" x14ac:dyDescent="0.25">
      <c r="A29" s="3" t="s">
        <v>2</v>
      </c>
      <c r="B29" s="3">
        <v>100</v>
      </c>
      <c r="C29" s="3">
        <v>1</v>
      </c>
      <c r="D29" s="3">
        <v>1217081.4550000001</v>
      </c>
      <c r="E29" s="3">
        <v>22.062999999999999</v>
      </c>
      <c r="F29" s="3">
        <v>130</v>
      </c>
    </row>
    <row r="30" spans="1:6" x14ac:dyDescent="0.25">
      <c r="A30" s="3" t="s">
        <v>2</v>
      </c>
      <c r="B30" s="3">
        <v>100</v>
      </c>
      <c r="C30" s="3">
        <v>1</v>
      </c>
      <c r="D30" s="3">
        <v>1216607.102</v>
      </c>
      <c r="E30" s="3">
        <v>22.175999999999998</v>
      </c>
      <c r="F30" s="3">
        <v>130</v>
      </c>
    </row>
    <row r="31" spans="1:6" x14ac:dyDescent="0.25">
      <c r="A31" s="3" t="s">
        <v>1</v>
      </c>
      <c r="B31" s="3">
        <v>30</v>
      </c>
      <c r="C31" s="3">
        <v>1</v>
      </c>
      <c r="D31" s="3">
        <v>20008.802</v>
      </c>
      <c r="E31" s="3">
        <v>1.3480000000000001</v>
      </c>
      <c r="F31" s="3">
        <v>89</v>
      </c>
    </row>
    <row r="32" spans="1:6" x14ac:dyDescent="0.25">
      <c r="A32" s="3" t="s">
        <v>1</v>
      </c>
      <c r="B32" s="3">
        <v>30</v>
      </c>
      <c r="C32" s="3">
        <v>1</v>
      </c>
      <c r="D32" s="3">
        <v>20000.094000000001</v>
      </c>
      <c r="E32" s="3">
        <v>1.3460000000000001</v>
      </c>
      <c r="F32" s="3">
        <v>84</v>
      </c>
    </row>
    <row r="33" spans="1:6" x14ac:dyDescent="0.25">
      <c r="A33" s="3" t="s">
        <v>1</v>
      </c>
      <c r="B33" s="3">
        <v>30</v>
      </c>
      <c r="C33" s="3">
        <v>1</v>
      </c>
      <c r="D33" s="3">
        <v>19995.741000000002</v>
      </c>
      <c r="E33" s="3">
        <v>1.351</v>
      </c>
      <c r="F33" s="3">
        <v>92</v>
      </c>
    </row>
    <row r="34" spans="1:6" x14ac:dyDescent="0.25">
      <c r="A34" s="3" t="s">
        <v>1</v>
      </c>
      <c r="B34" s="3">
        <v>30</v>
      </c>
      <c r="C34" s="3">
        <v>1</v>
      </c>
      <c r="D34" s="3">
        <v>19983.690999999999</v>
      </c>
      <c r="E34" s="3">
        <v>1.351</v>
      </c>
      <c r="F34" s="3">
        <v>92</v>
      </c>
    </row>
    <row r="35" spans="1:6" x14ac:dyDescent="0.25">
      <c r="A35" s="3" t="s">
        <v>1</v>
      </c>
      <c r="B35" s="3">
        <v>30</v>
      </c>
      <c r="C35" s="3">
        <v>1</v>
      </c>
      <c r="D35" s="3">
        <v>19993.406999999999</v>
      </c>
      <c r="E35" s="3">
        <v>1.353</v>
      </c>
      <c r="F35" s="3">
        <v>84</v>
      </c>
    </row>
    <row r="36" spans="1:6" x14ac:dyDescent="0.25">
      <c r="A36" s="3" t="s">
        <v>1</v>
      </c>
      <c r="B36" s="3">
        <v>30</v>
      </c>
      <c r="C36" s="3">
        <v>1</v>
      </c>
      <c r="D36" s="3">
        <v>20007.183000000001</v>
      </c>
      <c r="E36" s="3">
        <v>1.3520000000000001</v>
      </c>
      <c r="F36" s="3">
        <v>89</v>
      </c>
    </row>
    <row r="37" spans="1:6" x14ac:dyDescent="0.25">
      <c r="A37" s="3" t="s">
        <v>1</v>
      </c>
      <c r="B37" s="3">
        <v>30</v>
      </c>
      <c r="C37" s="3">
        <v>1</v>
      </c>
      <c r="D37" s="3">
        <v>19969.536</v>
      </c>
      <c r="E37" s="3">
        <v>1.3520000000000001</v>
      </c>
      <c r="F37" s="3">
        <v>93</v>
      </c>
    </row>
    <row r="38" spans="1:6" x14ac:dyDescent="0.25">
      <c r="A38" s="3" t="s">
        <v>1</v>
      </c>
      <c r="B38" s="3">
        <v>30</v>
      </c>
      <c r="C38" s="3">
        <v>1</v>
      </c>
      <c r="D38" s="3">
        <v>19997.724999999999</v>
      </c>
      <c r="E38" s="3">
        <v>1.349</v>
      </c>
      <c r="F38" s="3">
        <v>89</v>
      </c>
    </row>
    <row r="39" spans="1:6" x14ac:dyDescent="0.25">
      <c r="A39" s="3" t="s">
        <v>1</v>
      </c>
      <c r="B39" s="3">
        <v>30</v>
      </c>
      <c r="C39" s="3">
        <v>1</v>
      </c>
      <c r="D39" s="3">
        <v>20025.055</v>
      </c>
      <c r="E39" s="3">
        <v>1.357</v>
      </c>
      <c r="F39" s="3">
        <v>87</v>
      </c>
    </row>
    <row r="40" spans="1:6" x14ac:dyDescent="0.25">
      <c r="A40" s="3" t="s">
        <v>1</v>
      </c>
      <c r="B40" s="3">
        <v>30</v>
      </c>
      <c r="C40" s="3">
        <v>1</v>
      </c>
      <c r="D40" s="3">
        <v>20010.196</v>
      </c>
      <c r="E40" s="3">
        <v>1.351</v>
      </c>
      <c r="F40" s="3">
        <v>93</v>
      </c>
    </row>
    <row r="41" spans="1:6" x14ac:dyDescent="0.25">
      <c r="A41" s="3" t="s">
        <v>1</v>
      </c>
      <c r="B41" s="3">
        <v>50</v>
      </c>
      <c r="C41" s="3">
        <v>1</v>
      </c>
      <c r="D41" s="3">
        <v>35326.732000000004</v>
      </c>
      <c r="E41" s="3">
        <v>3.0470000000000002</v>
      </c>
      <c r="F41" s="3">
        <v>77</v>
      </c>
    </row>
    <row r="42" spans="1:6" x14ac:dyDescent="0.25">
      <c r="A42" s="3" t="s">
        <v>1</v>
      </c>
      <c r="B42" s="3">
        <v>50</v>
      </c>
      <c r="C42" s="3">
        <v>1</v>
      </c>
      <c r="D42" s="3">
        <v>35341.39</v>
      </c>
      <c r="E42" s="3">
        <v>3.06</v>
      </c>
      <c r="F42" s="3">
        <v>73</v>
      </c>
    </row>
    <row r="43" spans="1:6" x14ac:dyDescent="0.25">
      <c r="A43" s="3" t="s">
        <v>1</v>
      </c>
      <c r="B43" s="3">
        <v>50</v>
      </c>
      <c r="C43" s="3">
        <v>1</v>
      </c>
      <c r="D43" s="3">
        <v>35311.436999999998</v>
      </c>
      <c r="E43" s="3">
        <v>3.0579999999999998</v>
      </c>
      <c r="F43" s="3">
        <v>75</v>
      </c>
    </row>
    <row r="44" spans="1:6" x14ac:dyDescent="0.25">
      <c r="A44" s="3" t="s">
        <v>1</v>
      </c>
      <c r="B44" s="3">
        <v>50</v>
      </c>
      <c r="C44" s="3">
        <v>1</v>
      </c>
      <c r="D44" s="3">
        <v>35386.241999999998</v>
      </c>
      <c r="E44" s="3">
        <v>3.0409999999999999</v>
      </c>
      <c r="F44" s="3">
        <v>70</v>
      </c>
    </row>
    <row r="45" spans="1:6" x14ac:dyDescent="0.25">
      <c r="A45" s="3" t="s">
        <v>1</v>
      </c>
      <c r="B45" s="3">
        <v>50</v>
      </c>
      <c r="C45" s="3">
        <v>1</v>
      </c>
      <c r="D45" s="3">
        <v>35307.175000000003</v>
      </c>
      <c r="E45" s="3">
        <v>3.0350000000000001</v>
      </c>
      <c r="F45" s="3">
        <v>72</v>
      </c>
    </row>
    <row r="46" spans="1:6" x14ac:dyDescent="0.25">
      <c r="A46" s="3" t="s">
        <v>1</v>
      </c>
      <c r="B46" s="3">
        <v>50</v>
      </c>
      <c r="C46" s="3">
        <v>1</v>
      </c>
      <c r="D46" s="3">
        <v>35315.856</v>
      </c>
      <c r="E46" s="3">
        <v>3.0510000000000002</v>
      </c>
      <c r="F46" s="3">
        <v>77</v>
      </c>
    </row>
    <row r="47" spans="1:6" x14ac:dyDescent="0.25">
      <c r="A47" s="3" t="s">
        <v>1</v>
      </c>
      <c r="B47" s="3">
        <v>50</v>
      </c>
      <c r="C47" s="3">
        <v>1</v>
      </c>
      <c r="D47" s="3">
        <v>35334.332999999999</v>
      </c>
      <c r="E47" s="3">
        <v>3.052</v>
      </c>
      <c r="F47" s="3">
        <v>77</v>
      </c>
    </row>
    <row r="48" spans="1:6" x14ac:dyDescent="0.25">
      <c r="A48" s="3" t="s">
        <v>1</v>
      </c>
      <c r="B48" s="3">
        <v>50</v>
      </c>
      <c r="C48" s="3">
        <v>1</v>
      </c>
      <c r="D48" s="3">
        <v>35402.58</v>
      </c>
      <c r="E48" s="3">
        <v>3.0449999999999999</v>
      </c>
      <c r="F48" s="3">
        <v>75</v>
      </c>
    </row>
    <row r="49" spans="1:6" x14ac:dyDescent="0.25">
      <c r="A49" s="3" t="s">
        <v>1</v>
      </c>
      <c r="B49" s="3">
        <v>50</v>
      </c>
      <c r="C49" s="3">
        <v>1</v>
      </c>
      <c r="D49" s="3">
        <v>35401.279999999999</v>
      </c>
      <c r="E49" s="3">
        <v>3.0409999999999999</v>
      </c>
      <c r="F49" s="3">
        <v>73</v>
      </c>
    </row>
    <row r="50" spans="1:6" x14ac:dyDescent="0.25">
      <c r="A50" s="3" t="s">
        <v>1</v>
      </c>
      <c r="B50" s="3">
        <v>50</v>
      </c>
      <c r="C50" s="3">
        <v>1</v>
      </c>
      <c r="D50" s="3">
        <v>35278.896000000001</v>
      </c>
      <c r="E50" s="3">
        <v>3.0430000000000001</v>
      </c>
      <c r="F50" s="3">
        <v>75</v>
      </c>
    </row>
    <row r="51" spans="1:6" x14ac:dyDescent="0.25">
      <c r="A51" s="3" t="s">
        <v>1</v>
      </c>
      <c r="B51" s="3">
        <v>100</v>
      </c>
      <c r="C51" s="3">
        <v>1</v>
      </c>
      <c r="D51" s="3">
        <v>63125.074999999997</v>
      </c>
      <c r="E51" s="3">
        <v>11.708</v>
      </c>
      <c r="F51" s="3">
        <v>73</v>
      </c>
    </row>
    <row r="52" spans="1:6" x14ac:dyDescent="0.25">
      <c r="A52" s="3" t="s">
        <v>1</v>
      </c>
      <c r="B52" s="3">
        <v>100</v>
      </c>
      <c r="C52" s="3">
        <v>1</v>
      </c>
      <c r="D52" s="3">
        <v>63173.250999999997</v>
      </c>
      <c r="E52" s="3">
        <v>11.727</v>
      </c>
      <c r="F52" s="3">
        <v>72</v>
      </c>
    </row>
    <row r="53" spans="1:6" x14ac:dyDescent="0.25">
      <c r="A53" s="3" t="s">
        <v>1</v>
      </c>
      <c r="B53" s="3">
        <v>100</v>
      </c>
      <c r="C53" s="3">
        <v>1</v>
      </c>
      <c r="D53" s="3">
        <v>63194.05</v>
      </c>
      <c r="E53" s="3">
        <v>11.776</v>
      </c>
      <c r="F53" s="3">
        <v>73</v>
      </c>
    </row>
    <row r="54" spans="1:6" x14ac:dyDescent="0.25">
      <c r="A54" s="3" t="s">
        <v>1</v>
      </c>
      <c r="B54" s="3">
        <v>100</v>
      </c>
      <c r="C54" s="3">
        <v>1</v>
      </c>
      <c r="D54" s="3">
        <v>63145.343000000001</v>
      </c>
      <c r="E54" s="3">
        <v>11.7</v>
      </c>
      <c r="F54" s="3">
        <v>72</v>
      </c>
    </row>
    <row r="55" spans="1:6" x14ac:dyDescent="0.25">
      <c r="A55" s="3" t="s">
        <v>1</v>
      </c>
      <c r="B55" s="3">
        <v>100</v>
      </c>
      <c r="C55" s="3">
        <v>1</v>
      </c>
      <c r="D55" s="3">
        <v>63196.415000000001</v>
      </c>
      <c r="E55" s="3">
        <v>11.715</v>
      </c>
      <c r="F55" s="3">
        <v>71</v>
      </c>
    </row>
    <row r="56" spans="1:6" x14ac:dyDescent="0.25">
      <c r="A56" s="3" t="s">
        <v>1</v>
      </c>
      <c r="B56" s="3">
        <v>100</v>
      </c>
      <c r="C56" s="3">
        <v>1</v>
      </c>
      <c r="D56" s="3">
        <v>63156.296999999999</v>
      </c>
      <c r="E56" s="3">
        <v>11.766999999999999</v>
      </c>
      <c r="F56" s="3">
        <v>73</v>
      </c>
    </row>
    <row r="57" spans="1:6" x14ac:dyDescent="0.25">
      <c r="A57" s="3" t="s">
        <v>1</v>
      </c>
      <c r="B57" s="3">
        <v>100</v>
      </c>
      <c r="C57" s="3">
        <v>1</v>
      </c>
      <c r="D57" s="3">
        <v>63059.033000000003</v>
      </c>
      <c r="E57" s="3">
        <v>11.69</v>
      </c>
      <c r="F57" s="3">
        <v>72</v>
      </c>
    </row>
    <row r="58" spans="1:6" x14ac:dyDescent="0.25">
      <c r="A58" s="3" t="s">
        <v>1</v>
      </c>
      <c r="B58" s="3">
        <v>100</v>
      </c>
      <c r="C58" s="3">
        <v>1</v>
      </c>
      <c r="D58" s="3">
        <v>63147.273999999998</v>
      </c>
      <c r="E58" s="3">
        <v>11.71</v>
      </c>
      <c r="F58" s="3">
        <v>72</v>
      </c>
    </row>
    <row r="59" spans="1:6" x14ac:dyDescent="0.25">
      <c r="A59" s="3" t="s">
        <v>1</v>
      </c>
      <c r="B59" s="3">
        <v>100</v>
      </c>
      <c r="C59" s="3">
        <v>1</v>
      </c>
      <c r="D59" s="3">
        <v>63134.419000000002</v>
      </c>
      <c r="E59" s="3">
        <v>11.686999999999999</v>
      </c>
      <c r="F59" s="3">
        <v>71</v>
      </c>
    </row>
    <row r="60" spans="1:6" x14ac:dyDescent="0.25">
      <c r="A60" s="3" t="s">
        <v>1</v>
      </c>
      <c r="B60" s="3">
        <v>100</v>
      </c>
      <c r="C60" s="3">
        <v>1</v>
      </c>
      <c r="D60" s="3">
        <v>63149.498</v>
      </c>
      <c r="E60" s="3">
        <v>11.773999999999999</v>
      </c>
      <c r="F60" s="3">
        <v>73</v>
      </c>
    </row>
    <row r="61" spans="1:6" x14ac:dyDescent="0.25">
      <c r="A61" s="3" t="s">
        <v>0</v>
      </c>
      <c r="B61" s="3">
        <v>25</v>
      </c>
      <c r="C61" s="3">
        <v>1</v>
      </c>
      <c r="D61" s="3">
        <v>723.54399999999998</v>
      </c>
      <c r="E61" s="3">
        <v>0.90600000000000003</v>
      </c>
      <c r="F61" s="3">
        <v>75</v>
      </c>
    </row>
    <row r="62" spans="1:6" x14ac:dyDescent="0.25">
      <c r="A62" s="3" t="s">
        <v>0</v>
      </c>
      <c r="B62" s="3">
        <v>25</v>
      </c>
      <c r="C62" s="3">
        <v>1</v>
      </c>
      <c r="D62" s="3">
        <v>723.12400000000002</v>
      </c>
      <c r="E62" s="3">
        <v>0.90700000000000003</v>
      </c>
      <c r="F62" s="3">
        <v>88</v>
      </c>
    </row>
    <row r="63" spans="1:6" x14ac:dyDescent="0.25">
      <c r="A63" s="3" t="s">
        <v>0</v>
      </c>
      <c r="B63" s="3">
        <v>25</v>
      </c>
      <c r="C63" s="3">
        <v>1</v>
      </c>
      <c r="D63" s="3">
        <v>723.71600000000001</v>
      </c>
      <c r="E63" s="3">
        <v>0.90900000000000003</v>
      </c>
      <c r="F63" s="3">
        <v>75</v>
      </c>
    </row>
    <row r="64" spans="1:6" x14ac:dyDescent="0.25">
      <c r="A64" s="3" t="s">
        <v>0</v>
      </c>
      <c r="B64" s="3">
        <v>25</v>
      </c>
      <c r="C64" s="3">
        <v>1</v>
      </c>
      <c r="D64" s="3">
        <v>723.82899999999995</v>
      </c>
      <c r="E64" s="3">
        <v>0.90800000000000003</v>
      </c>
      <c r="F64" s="3">
        <v>88</v>
      </c>
    </row>
    <row r="65" spans="1:6" x14ac:dyDescent="0.25">
      <c r="A65" s="3" t="s">
        <v>0</v>
      </c>
      <c r="B65" s="3">
        <v>25</v>
      </c>
      <c r="C65" s="3">
        <v>1</v>
      </c>
      <c r="D65" s="3">
        <v>723.36199999999997</v>
      </c>
      <c r="E65" s="3">
        <v>0.90200000000000002</v>
      </c>
      <c r="F65" s="3">
        <v>80</v>
      </c>
    </row>
    <row r="66" spans="1:6" x14ac:dyDescent="0.25">
      <c r="A66" s="3" t="s">
        <v>0</v>
      </c>
      <c r="B66" s="3">
        <v>25</v>
      </c>
      <c r="C66" s="3">
        <v>1</v>
      </c>
      <c r="D66" s="3">
        <v>723.75300000000004</v>
      </c>
      <c r="E66" s="3">
        <v>0.90400000000000003</v>
      </c>
      <c r="F66" s="3">
        <v>87</v>
      </c>
    </row>
    <row r="67" spans="1:6" x14ac:dyDescent="0.25">
      <c r="A67" s="3" t="s">
        <v>0</v>
      </c>
      <c r="B67" s="3">
        <v>25</v>
      </c>
      <c r="C67" s="3">
        <v>1</v>
      </c>
      <c r="D67" s="3">
        <v>722.96699999999998</v>
      </c>
      <c r="E67" s="3">
        <v>0.90100000000000002</v>
      </c>
      <c r="F67" s="3">
        <v>77</v>
      </c>
    </row>
    <row r="68" spans="1:6" x14ac:dyDescent="0.25">
      <c r="A68" s="3" t="s">
        <v>0</v>
      </c>
      <c r="B68" s="3">
        <v>25</v>
      </c>
      <c r="C68" s="3">
        <v>1</v>
      </c>
      <c r="D68" s="3">
        <v>723.56500000000005</v>
      </c>
      <c r="E68" s="3">
        <v>0.90800000000000003</v>
      </c>
      <c r="F68" s="3">
        <v>86</v>
      </c>
    </row>
    <row r="69" spans="1:6" x14ac:dyDescent="0.25">
      <c r="A69" s="3" t="s">
        <v>0</v>
      </c>
      <c r="B69" s="3">
        <v>25</v>
      </c>
      <c r="C69" s="3">
        <v>1</v>
      </c>
      <c r="D69" s="3">
        <v>723.55899999999997</v>
      </c>
      <c r="E69" s="3">
        <v>0.90400000000000003</v>
      </c>
      <c r="F69" s="3">
        <v>70</v>
      </c>
    </row>
    <row r="70" spans="1:6" x14ac:dyDescent="0.25">
      <c r="A70" s="3" t="s">
        <v>0</v>
      </c>
      <c r="B70" s="3">
        <v>25</v>
      </c>
      <c r="C70" s="3">
        <v>1</v>
      </c>
      <c r="D70" s="3">
        <v>723.31700000000001</v>
      </c>
      <c r="E70" s="3">
        <v>0.90600000000000003</v>
      </c>
      <c r="F70" s="3">
        <v>87</v>
      </c>
    </row>
    <row r="71" spans="1:6" x14ac:dyDescent="0.25">
      <c r="A71" s="3" t="s">
        <v>0</v>
      </c>
      <c r="B71" s="3">
        <v>50</v>
      </c>
      <c r="C71" s="3">
        <v>1</v>
      </c>
      <c r="D71" s="3">
        <v>1570.971</v>
      </c>
      <c r="E71" s="3">
        <v>3.3929999999999998</v>
      </c>
      <c r="F71" s="3">
        <v>86</v>
      </c>
    </row>
    <row r="72" spans="1:6" x14ac:dyDescent="0.25">
      <c r="A72" s="3" t="s">
        <v>0</v>
      </c>
      <c r="B72" s="3">
        <v>50</v>
      </c>
      <c r="C72" s="3">
        <v>1</v>
      </c>
      <c r="D72" s="3">
        <v>1571.9110000000001</v>
      </c>
      <c r="E72" s="3">
        <v>3.3919999999999999</v>
      </c>
      <c r="F72" s="3">
        <v>83</v>
      </c>
    </row>
    <row r="73" spans="1:6" x14ac:dyDescent="0.25">
      <c r="A73" s="3" t="s">
        <v>0</v>
      </c>
      <c r="B73" s="3">
        <v>50</v>
      </c>
      <c r="C73" s="3">
        <v>1</v>
      </c>
      <c r="D73" s="3">
        <v>1571.0440000000001</v>
      </c>
      <c r="E73" s="3">
        <v>3.3889999999999998</v>
      </c>
      <c r="F73" s="3">
        <v>84</v>
      </c>
    </row>
    <row r="74" spans="1:6" x14ac:dyDescent="0.25">
      <c r="A74" s="3" t="s">
        <v>0</v>
      </c>
      <c r="B74" s="3">
        <v>50</v>
      </c>
      <c r="C74" s="3">
        <v>1</v>
      </c>
      <c r="D74" s="3">
        <v>1571.145</v>
      </c>
      <c r="E74" s="3">
        <v>3.3809999999999998</v>
      </c>
      <c r="F74" s="3">
        <v>83</v>
      </c>
    </row>
    <row r="75" spans="1:6" x14ac:dyDescent="0.25">
      <c r="A75" s="3" t="s">
        <v>0</v>
      </c>
      <c r="B75" s="3">
        <v>50</v>
      </c>
      <c r="C75" s="3">
        <v>1</v>
      </c>
      <c r="D75" s="3">
        <v>1570.499</v>
      </c>
      <c r="E75" s="3">
        <v>3.371</v>
      </c>
      <c r="F75" s="3">
        <v>84</v>
      </c>
    </row>
    <row r="76" spans="1:6" x14ac:dyDescent="0.25">
      <c r="A76" s="3" t="s">
        <v>0</v>
      </c>
      <c r="B76" s="3">
        <v>50</v>
      </c>
      <c r="C76" s="3">
        <v>1</v>
      </c>
      <c r="D76" s="3">
        <v>1571.3889999999999</v>
      </c>
      <c r="E76" s="3">
        <v>3.3820000000000001</v>
      </c>
      <c r="F76" s="3">
        <v>86</v>
      </c>
    </row>
    <row r="77" spans="1:6" x14ac:dyDescent="0.25">
      <c r="A77" s="3" t="s">
        <v>0</v>
      </c>
      <c r="B77" s="3">
        <v>50</v>
      </c>
      <c r="C77" s="3">
        <v>1</v>
      </c>
      <c r="D77" s="3">
        <v>1571.38</v>
      </c>
      <c r="E77" s="3">
        <v>3.3679999999999999</v>
      </c>
      <c r="F77" s="3">
        <v>83</v>
      </c>
    </row>
    <row r="78" spans="1:6" x14ac:dyDescent="0.25">
      <c r="A78" s="3" t="s">
        <v>0</v>
      </c>
      <c r="B78" s="3">
        <v>50</v>
      </c>
      <c r="C78" s="3">
        <v>1</v>
      </c>
      <c r="D78" s="3">
        <v>1571.7860000000001</v>
      </c>
      <c r="E78" s="3">
        <v>3.3820000000000001</v>
      </c>
      <c r="F78" s="3">
        <v>85</v>
      </c>
    </row>
    <row r="79" spans="1:6" x14ac:dyDescent="0.25">
      <c r="A79" s="3" t="s">
        <v>0</v>
      </c>
      <c r="B79" s="3">
        <v>50</v>
      </c>
      <c r="C79" s="3">
        <v>1</v>
      </c>
      <c r="D79" s="3">
        <v>1570.952</v>
      </c>
      <c r="E79" s="3">
        <v>3.3679999999999999</v>
      </c>
      <c r="F79" s="3">
        <v>86</v>
      </c>
    </row>
    <row r="80" spans="1:6" x14ac:dyDescent="0.25">
      <c r="A80" s="3" t="s">
        <v>0</v>
      </c>
      <c r="B80" s="3">
        <v>50</v>
      </c>
      <c r="C80" s="3">
        <v>1</v>
      </c>
      <c r="D80" s="3">
        <v>1571.4069999999999</v>
      </c>
      <c r="E80" s="3">
        <v>3.3820000000000001</v>
      </c>
      <c r="F80" s="3">
        <v>84</v>
      </c>
    </row>
    <row r="81" spans="1:6" x14ac:dyDescent="0.25">
      <c r="A81" s="3" t="s">
        <v>0</v>
      </c>
      <c r="B81" s="3">
        <v>100</v>
      </c>
      <c r="C81" s="3">
        <v>1</v>
      </c>
      <c r="D81" s="3">
        <v>3291.2449999999999</v>
      </c>
      <c r="E81" s="3">
        <v>11.362</v>
      </c>
      <c r="F81" s="3">
        <v>69</v>
      </c>
    </row>
    <row r="82" spans="1:6" x14ac:dyDescent="0.25">
      <c r="A82" s="3" t="s">
        <v>0</v>
      </c>
      <c r="B82" s="3">
        <v>100</v>
      </c>
      <c r="C82" s="3">
        <v>1</v>
      </c>
      <c r="D82" s="3">
        <v>3292.0680000000002</v>
      </c>
      <c r="E82" s="3">
        <v>11.359</v>
      </c>
      <c r="F82" s="3">
        <v>69</v>
      </c>
    </row>
    <row r="83" spans="1:6" x14ac:dyDescent="0.25">
      <c r="A83" s="3" t="s">
        <v>0</v>
      </c>
      <c r="B83" s="3">
        <v>100</v>
      </c>
      <c r="C83" s="3">
        <v>1</v>
      </c>
      <c r="D83" s="3">
        <v>3294.83</v>
      </c>
      <c r="E83" s="3">
        <v>11.329000000000001</v>
      </c>
      <c r="F83" s="3">
        <v>68</v>
      </c>
    </row>
    <row r="84" spans="1:6" x14ac:dyDescent="0.25">
      <c r="A84" s="3" t="s">
        <v>0</v>
      </c>
      <c r="B84" s="3">
        <v>100</v>
      </c>
      <c r="C84" s="3">
        <v>1</v>
      </c>
      <c r="D84" s="3">
        <v>3323.1790000000001</v>
      </c>
      <c r="E84" s="3">
        <v>11.388</v>
      </c>
      <c r="F84" s="3">
        <v>69</v>
      </c>
    </row>
    <row r="85" spans="1:6" x14ac:dyDescent="0.25">
      <c r="A85" s="3" t="s">
        <v>0</v>
      </c>
      <c r="B85" s="3">
        <v>100</v>
      </c>
      <c r="C85" s="3">
        <v>1</v>
      </c>
      <c r="D85" s="3">
        <v>3305.348</v>
      </c>
      <c r="E85" s="3">
        <v>11.388</v>
      </c>
      <c r="F85" s="3">
        <v>67</v>
      </c>
    </row>
    <row r="86" spans="1:6" x14ac:dyDescent="0.25">
      <c r="A86" s="3" t="s">
        <v>0</v>
      </c>
      <c r="B86" s="3">
        <v>100</v>
      </c>
      <c r="C86" s="3">
        <v>1</v>
      </c>
      <c r="D86" s="3">
        <v>3319.8249999999998</v>
      </c>
      <c r="E86" s="3">
        <v>11.34</v>
      </c>
      <c r="F86" s="3">
        <v>67</v>
      </c>
    </row>
    <row r="87" spans="1:6" x14ac:dyDescent="0.25">
      <c r="A87" s="3" t="s">
        <v>0</v>
      </c>
      <c r="B87" s="3">
        <v>100</v>
      </c>
      <c r="C87" s="3">
        <v>1</v>
      </c>
      <c r="D87" s="3">
        <v>3299.944</v>
      </c>
      <c r="E87" s="3">
        <v>11.403</v>
      </c>
      <c r="F87" s="3">
        <v>69</v>
      </c>
    </row>
    <row r="88" spans="1:6" x14ac:dyDescent="0.25">
      <c r="A88" s="3" t="s">
        <v>0</v>
      </c>
      <c r="B88" s="3">
        <v>100</v>
      </c>
      <c r="C88" s="3">
        <v>1</v>
      </c>
      <c r="D88" s="3">
        <v>3301.2020000000002</v>
      </c>
      <c r="E88" s="3">
        <v>11.37</v>
      </c>
      <c r="F88" s="3">
        <v>69</v>
      </c>
    </row>
    <row r="89" spans="1:6" x14ac:dyDescent="0.25">
      <c r="A89" s="3" t="s">
        <v>0</v>
      </c>
      <c r="B89" s="3">
        <v>100</v>
      </c>
      <c r="C89" s="3">
        <v>1</v>
      </c>
      <c r="D89" s="3">
        <v>3331.569</v>
      </c>
      <c r="E89" s="3">
        <v>11.367000000000001</v>
      </c>
      <c r="F89" s="3">
        <v>68</v>
      </c>
    </row>
    <row r="90" spans="1:6" x14ac:dyDescent="0.25">
      <c r="A90" s="3" t="s">
        <v>0</v>
      </c>
      <c r="B90" s="3">
        <v>100</v>
      </c>
      <c r="C90" s="3">
        <v>1</v>
      </c>
      <c r="D90" s="3">
        <v>3305.6129999999998</v>
      </c>
      <c r="E90" s="3">
        <v>11.323</v>
      </c>
      <c r="F90" s="3">
        <v>68</v>
      </c>
    </row>
  </sheetData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0"/>
  <sheetViews>
    <sheetView zoomScale="85" zoomScaleNormal="85" workbookViewId="0">
      <selection sqref="A1:F91"/>
    </sheetView>
  </sheetViews>
  <sheetFormatPr defaultColWidth="9" defaultRowHeight="15" x14ac:dyDescent="0.25"/>
  <cols>
    <col min="1" max="1" width="9.75" style="3" customWidth="1"/>
    <col min="2" max="2" width="4.375" style="3" bestFit="1" customWidth="1"/>
    <col min="3" max="3" width="2.625" style="3" bestFit="1" customWidth="1"/>
    <col min="4" max="4" width="10.875" style="3" customWidth="1"/>
    <col min="5" max="5" width="7" style="3" bestFit="1" customWidth="1"/>
    <col min="6" max="6" width="4.375" style="3" bestFit="1" customWidth="1"/>
    <col min="7" max="7" width="2.5" style="3" customWidth="1"/>
    <col min="8" max="8" width="9.625" style="3" customWidth="1"/>
    <col min="9" max="9" width="4.375" style="3" bestFit="1" customWidth="1"/>
    <col min="10" max="10" width="3.125" style="3" bestFit="1" customWidth="1"/>
    <col min="11" max="11" width="2.625" style="3" customWidth="1"/>
    <col min="12" max="21" width="9" style="3"/>
    <col min="22" max="22" width="2.5" style="3" customWidth="1"/>
    <col min="23" max="23" width="9" style="3"/>
    <col min="24" max="24" width="2.5" style="3" customWidth="1"/>
    <col min="25" max="25" width="9" style="3"/>
    <col min="26" max="26" width="2.625" style="3" customWidth="1"/>
    <col min="27" max="27" width="2.5" style="3" customWidth="1"/>
    <col min="28" max="37" width="9" style="3"/>
    <col min="38" max="38" width="5.625" style="3" customWidth="1"/>
    <col min="39" max="16384" width="9" style="3"/>
  </cols>
  <sheetData>
    <row r="1" spans="1:39" x14ac:dyDescent="0.25">
      <c r="A1" s="3" t="s">
        <v>2</v>
      </c>
      <c r="B1" s="3">
        <v>24</v>
      </c>
      <c r="C1" s="3">
        <v>1</v>
      </c>
      <c r="D1" s="3">
        <v>55973.421000000002</v>
      </c>
      <c r="E1" s="3">
        <v>1.2410000000000001</v>
      </c>
      <c r="F1" s="3">
        <v>110</v>
      </c>
      <c r="H1" s="5" t="s">
        <v>13</v>
      </c>
      <c r="I1" s="5" t="s">
        <v>14</v>
      </c>
      <c r="J1" s="5" t="s">
        <v>10</v>
      </c>
      <c r="K1" s="2"/>
      <c r="L1" s="2">
        <v>1</v>
      </c>
      <c r="M1" s="2">
        <v>2</v>
      </c>
      <c r="N1" s="2">
        <v>3</v>
      </c>
      <c r="O1" s="2">
        <v>4</v>
      </c>
      <c r="P1" s="2">
        <v>5</v>
      </c>
      <c r="Q1" s="2">
        <v>6</v>
      </c>
      <c r="R1" s="2">
        <v>7</v>
      </c>
      <c r="S1" s="2">
        <v>8</v>
      </c>
      <c r="T1" s="2">
        <v>9</v>
      </c>
      <c r="U1" s="2">
        <v>10</v>
      </c>
      <c r="W1" s="2" t="s">
        <v>11</v>
      </c>
      <c r="X1" s="2"/>
      <c r="Y1" s="2" t="s">
        <v>9</v>
      </c>
      <c r="Z1" s="2"/>
      <c r="AM1" s="5" t="s">
        <v>12</v>
      </c>
    </row>
    <row r="2" spans="1:39" x14ac:dyDescent="0.25">
      <c r="A2" s="3" t="s">
        <v>2</v>
      </c>
      <c r="B2" s="3">
        <v>24</v>
      </c>
      <c r="C2" s="3">
        <v>1</v>
      </c>
      <c r="D2" s="3">
        <v>55965.822</v>
      </c>
      <c r="E2" s="3">
        <v>1.2390000000000001</v>
      </c>
      <c r="F2" s="3">
        <v>118</v>
      </c>
      <c r="H2" s="3" t="s">
        <v>2</v>
      </c>
      <c r="I2" s="3">
        <v>24</v>
      </c>
      <c r="J2" s="3">
        <v>1</v>
      </c>
      <c r="L2" s="3">
        <f ca="1">INDIRECT("D"&amp;1+(ROW(D1)-1)*10+COLUMN(A1)-1)</f>
        <v>55973.421000000002</v>
      </c>
      <c r="M2" s="3">
        <f t="shared" ref="M2:U10" ca="1" si="0">INDIRECT("D"&amp;1+(ROW(E1)-1)*10+COLUMN(B1)-1)</f>
        <v>55965.822</v>
      </c>
      <c r="N2" s="3">
        <f t="shared" ca="1" si="0"/>
        <v>55964.014999999999</v>
      </c>
      <c r="O2" s="3">
        <f t="shared" ca="1" si="0"/>
        <v>55963.252999999997</v>
      </c>
      <c r="P2" s="3">
        <f t="shared" ca="1" si="0"/>
        <v>55979.623</v>
      </c>
      <c r="Q2" s="3">
        <f t="shared" ca="1" si="0"/>
        <v>55976.277999999998</v>
      </c>
      <c r="R2" s="3">
        <f t="shared" ca="1" si="0"/>
        <v>55994.273000000001</v>
      </c>
      <c r="S2" s="3">
        <f t="shared" ca="1" si="0"/>
        <v>56007.192999999999</v>
      </c>
      <c r="T2" s="3">
        <f t="shared" ca="1" si="0"/>
        <v>55968.821000000004</v>
      </c>
      <c r="U2" s="3">
        <f t="shared" ca="1" si="0"/>
        <v>55971.171999999999</v>
      </c>
      <c r="W2" s="3">
        <f ca="1">AVERAGE(L2:U2)</f>
        <v>55976.387100000007</v>
      </c>
      <c r="Y2" s="3">
        <f ca="1">Total!E2</f>
        <v>55722.476000000002</v>
      </c>
      <c r="AB2" s="3">
        <f t="shared" ref="AB2:AK10" ca="1" si="1">(L2-$Y2)/$Y2</f>
        <v>4.503478991134559E-3</v>
      </c>
      <c r="AC2" s="3">
        <f t="shared" ca="1" si="1"/>
        <v>4.3671067308638208E-3</v>
      </c>
      <c r="AD2" s="3">
        <f t="shared" ca="1" si="1"/>
        <v>4.3346781646960023E-3</v>
      </c>
      <c r="AE2" s="3">
        <f t="shared" ca="1" si="1"/>
        <v>4.3210032519013439E-3</v>
      </c>
      <c r="AF2" s="3">
        <f t="shared" ca="1" si="1"/>
        <v>4.6147805779484241E-3</v>
      </c>
      <c r="AG2" s="3">
        <f t="shared" ca="1" si="1"/>
        <v>4.5547509410744065E-3</v>
      </c>
      <c r="AH2" s="3">
        <f t="shared" ca="1" si="1"/>
        <v>4.8776906467687953E-3</v>
      </c>
      <c r="AI2" s="3">
        <f t="shared" ca="1" si="1"/>
        <v>5.1095539975645893E-3</v>
      </c>
      <c r="AJ2" s="3">
        <f t="shared" ca="1" si="1"/>
        <v>4.4209270241329758E-3</v>
      </c>
      <c r="AK2" s="3">
        <f t="shared" ca="1" si="1"/>
        <v>4.4631182577026234E-3</v>
      </c>
      <c r="AM2" s="3">
        <f ca="1">SUM(AB2:AK2)</f>
        <v>4.5567088583787545E-2</v>
      </c>
    </row>
    <row r="3" spans="1:39" x14ac:dyDescent="0.25">
      <c r="A3" s="3" t="s">
        <v>2</v>
      </c>
      <c r="B3" s="3">
        <v>24</v>
      </c>
      <c r="C3" s="3">
        <v>1</v>
      </c>
      <c r="D3" s="3">
        <v>55964.014999999999</v>
      </c>
      <c r="E3" s="3">
        <v>1.2370000000000001</v>
      </c>
      <c r="F3" s="3">
        <v>121</v>
      </c>
      <c r="H3" s="3" t="s">
        <v>2</v>
      </c>
      <c r="I3" s="3">
        <v>47</v>
      </c>
      <c r="J3" s="3">
        <v>1</v>
      </c>
      <c r="L3" s="3">
        <f t="shared" ref="L3:L10" ca="1" si="2">INDIRECT("D"&amp;1+(ROW(D2)-1)*10+COLUMN(A2)-1)</f>
        <v>126379.306</v>
      </c>
      <c r="M3" s="3">
        <f t="shared" ca="1" si="0"/>
        <v>126223.008</v>
      </c>
      <c r="N3" s="3">
        <f t="shared" ca="1" si="0"/>
        <v>126269.658</v>
      </c>
      <c r="O3" s="3">
        <f t="shared" ca="1" si="0"/>
        <v>126311.735</v>
      </c>
      <c r="P3" s="3">
        <f t="shared" ca="1" si="0"/>
        <v>126300.077</v>
      </c>
      <c r="Q3" s="3">
        <f t="shared" ca="1" si="0"/>
        <v>126338.351</v>
      </c>
      <c r="R3" s="3">
        <f t="shared" ca="1" si="0"/>
        <v>126398.587</v>
      </c>
      <c r="S3" s="3">
        <f t="shared" ca="1" si="0"/>
        <v>126283.359</v>
      </c>
      <c r="T3" s="3">
        <f t="shared" ca="1" si="0"/>
        <v>126281.62699999999</v>
      </c>
      <c r="U3" s="3">
        <f t="shared" ca="1" si="0"/>
        <v>126296.38800000001</v>
      </c>
      <c r="W3" s="3">
        <f t="shared" ref="W3:W10" ca="1" si="3">AVERAGE(L3:U3)</f>
        <v>126308.20960000002</v>
      </c>
      <c r="Y3" s="3">
        <f ca="1">Total!E3</f>
        <v>126021.209</v>
      </c>
      <c r="AB3" s="3">
        <f t="shared" ca="1" si="1"/>
        <v>2.8415613755934867E-3</v>
      </c>
      <c r="AC3" s="3">
        <f t="shared" ca="1" si="1"/>
        <v>1.6013098239677978E-3</v>
      </c>
      <c r="AD3" s="3">
        <f t="shared" ca="1" si="1"/>
        <v>1.9714856092198992E-3</v>
      </c>
      <c r="AE3" s="3">
        <f t="shared" ca="1" si="1"/>
        <v>2.3053738517934551E-3</v>
      </c>
      <c r="AF3" s="3">
        <f t="shared" ca="1" si="1"/>
        <v>2.212865613755556E-3</v>
      </c>
      <c r="AG3" s="3">
        <f t="shared" ca="1" si="1"/>
        <v>2.5165763962793956E-3</v>
      </c>
      <c r="AH3" s="3">
        <f t="shared" ca="1" si="1"/>
        <v>2.9945594316588167E-3</v>
      </c>
      <c r="AI3" s="3">
        <f t="shared" ca="1" si="1"/>
        <v>2.0802054041553766E-3</v>
      </c>
      <c r="AJ3" s="3">
        <f t="shared" ca="1" si="1"/>
        <v>2.0664616858261579E-3</v>
      </c>
      <c r="AK3" s="3">
        <f t="shared" ca="1" si="1"/>
        <v>2.1835927633419524E-3</v>
      </c>
      <c r="AM3" s="3">
        <f t="shared" ref="AM3:AM10" ca="1" si="4">SUM(AB3:AK3)</f>
        <v>2.2773991955591898E-2</v>
      </c>
    </row>
    <row r="4" spans="1:39" x14ac:dyDescent="0.25">
      <c r="A4" s="3" t="s">
        <v>2</v>
      </c>
      <c r="B4" s="3">
        <v>24</v>
      </c>
      <c r="C4" s="3">
        <v>1</v>
      </c>
      <c r="D4" s="3">
        <v>55963.252999999997</v>
      </c>
      <c r="E4" s="3">
        <v>1.2410000000000001</v>
      </c>
      <c r="F4" s="3">
        <v>124</v>
      </c>
      <c r="H4" s="3" t="s">
        <v>2</v>
      </c>
      <c r="I4" s="3">
        <v>100</v>
      </c>
      <c r="J4" s="3">
        <v>1</v>
      </c>
      <c r="L4" s="3">
        <f t="shared" ca="1" si="2"/>
        <v>1217393.983</v>
      </c>
      <c r="M4" s="3">
        <f t="shared" ca="1" si="0"/>
        <v>1216708.9790000001</v>
      </c>
      <c r="N4" s="3">
        <f t="shared" ca="1" si="0"/>
        <v>1217003.9269999999</v>
      </c>
      <c r="O4" s="3">
        <f t="shared" ca="1" si="0"/>
        <v>1217131.7509999999</v>
      </c>
      <c r="P4" s="3">
        <f t="shared" ca="1" si="0"/>
        <v>1217039.5730000001</v>
      </c>
      <c r="Q4" s="3">
        <f t="shared" ca="1" si="0"/>
        <v>1217694.571</v>
      </c>
      <c r="R4" s="3">
        <f t="shared" ca="1" si="0"/>
        <v>1217032.2409999999</v>
      </c>
      <c r="S4" s="3">
        <f t="shared" ca="1" si="0"/>
        <v>1216974.3840000001</v>
      </c>
      <c r="T4" s="3">
        <f t="shared" ca="1" si="0"/>
        <v>1217352.439</v>
      </c>
      <c r="U4" s="3">
        <f t="shared" ca="1" si="0"/>
        <v>1217123.1910000001</v>
      </c>
      <c r="W4" s="3">
        <f t="shared" ca="1" si="3"/>
        <v>1217145.5038999999</v>
      </c>
      <c r="Y4" s="3">
        <f ca="1">Total!E4</f>
        <v>1216556.6340000001</v>
      </c>
      <c r="AB4" s="3">
        <f t="shared" ca="1" si="1"/>
        <v>6.8829430262260123E-4</v>
      </c>
      <c r="AC4" s="3">
        <f t="shared" ca="1" si="1"/>
        <v>1.2522639369370457E-4</v>
      </c>
      <c r="AD4" s="3">
        <f t="shared" ca="1" si="1"/>
        <v>3.6767133358119557E-4</v>
      </c>
      <c r="AE4" s="3">
        <f t="shared" ca="1" si="1"/>
        <v>4.72741657828856E-4</v>
      </c>
      <c r="AF4" s="3">
        <f t="shared" ca="1" si="1"/>
        <v>3.9697206566711551E-4</v>
      </c>
      <c r="AG4" s="3">
        <f t="shared" ca="1" si="1"/>
        <v>9.3537527822146421E-4</v>
      </c>
      <c r="AH4" s="3">
        <f t="shared" ca="1" si="1"/>
        <v>3.9094521924233204E-4</v>
      </c>
      <c r="AI4" s="3">
        <f t="shared" ca="1" si="1"/>
        <v>3.433872195710701E-4</v>
      </c>
      <c r="AJ4" s="3">
        <f t="shared" ca="1" si="1"/>
        <v>6.5414546085154537E-4</v>
      </c>
      <c r="AK4" s="3">
        <f t="shared" ca="1" si="1"/>
        <v>4.6570540504736567E-4</v>
      </c>
      <c r="AM4" s="3">
        <f t="shared" ca="1" si="4"/>
        <v>4.84046433632725E-3</v>
      </c>
    </row>
    <row r="5" spans="1:39" x14ac:dyDescent="0.25">
      <c r="A5" s="3" t="s">
        <v>2</v>
      </c>
      <c r="B5" s="3">
        <v>24</v>
      </c>
      <c r="C5" s="3">
        <v>1</v>
      </c>
      <c r="D5" s="3">
        <v>55979.623</v>
      </c>
      <c r="E5" s="3">
        <v>1.236</v>
      </c>
      <c r="F5" s="3">
        <v>119</v>
      </c>
      <c r="H5" s="3" t="s">
        <v>1</v>
      </c>
      <c r="I5" s="3">
        <v>30</v>
      </c>
      <c r="J5" s="3">
        <v>1</v>
      </c>
      <c r="L5" s="3">
        <f t="shared" ca="1" si="2"/>
        <v>19990.638999999999</v>
      </c>
      <c r="M5" s="3">
        <f t="shared" ca="1" si="0"/>
        <v>20032.843000000001</v>
      </c>
      <c r="N5" s="3">
        <f t="shared" ca="1" si="0"/>
        <v>20029.808000000001</v>
      </c>
      <c r="O5" s="3">
        <f t="shared" ca="1" si="0"/>
        <v>20049.657999999999</v>
      </c>
      <c r="P5" s="3">
        <f t="shared" ca="1" si="0"/>
        <v>20042.634999999998</v>
      </c>
      <c r="Q5" s="3">
        <f t="shared" ca="1" si="0"/>
        <v>20027.891</v>
      </c>
      <c r="R5" s="3">
        <f t="shared" ca="1" si="0"/>
        <v>20020.688999999998</v>
      </c>
      <c r="S5" s="3">
        <f t="shared" ca="1" si="0"/>
        <v>20032.168000000001</v>
      </c>
      <c r="T5" s="3">
        <f t="shared" ca="1" si="0"/>
        <v>20014.173999999999</v>
      </c>
      <c r="U5" s="3">
        <f t="shared" ca="1" si="0"/>
        <v>20017.884999999998</v>
      </c>
      <c r="W5" s="3">
        <f t="shared" ca="1" si="3"/>
        <v>20025.839</v>
      </c>
      <c r="Y5" s="3">
        <f ca="1">Total!E5</f>
        <v>19969.536</v>
      </c>
      <c r="AB5" s="3">
        <f t="shared" ca="1" si="1"/>
        <v>1.0567596563084468E-3</v>
      </c>
      <c r="AC5" s="3">
        <f t="shared" ca="1" si="1"/>
        <v>3.1701788163731345E-3</v>
      </c>
      <c r="AD5" s="3">
        <f t="shared" ca="1" si="1"/>
        <v>3.0181973181550559E-3</v>
      </c>
      <c r="AE5" s="3">
        <f t="shared" ca="1" si="1"/>
        <v>4.0122114004050666E-3</v>
      </c>
      <c r="AF5" s="3">
        <f t="shared" ca="1" si="1"/>
        <v>3.6605257127656017E-3</v>
      </c>
      <c r="AG5" s="3">
        <f t="shared" ca="1" si="1"/>
        <v>2.9222010967104874E-3</v>
      </c>
      <c r="AH5" s="3">
        <f t="shared" ca="1" si="1"/>
        <v>2.5615517556341035E-3</v>
      </c>
      <c r="AI5" s="3">
        <f t="shared" ca="1" si="1"/>
        <v>3.1363773299490495E-3</v>
      </c>
      <c r="AJ5" s="3">
        <f t="shared" ca="1" si="1"/>
        <v>2.2353048162961327E-3</v>
      </c>
      <c r="AK5" s="3">
        <f t="shared" ca="1" si="1"/>
        <v>2.4211378772144901E-3</v>
      </c>
      <c r="AM5" s="3">
        <f t="shared" ca="1" si="4"/>
        <v>2.8194445779811565E-2</v>
      </c>
    </row>
    <row r="6" spans="1:39" x14ac:dyDescent="0.25">
      <c r="A6" s="3" t="s">
        <v>2</v>
      </c>
      <c r="B6" s="3">
        <v>24</v>
      </c>
      <c r="C6" s="3">
        <v>1</v>
      </c>
      <c r="D6" s="3">
        <v>55976.277999999998</v>
      </c>
      <c r="E6" s="3">
        <v>1.242</v>
      </c>
      <c r="F6" s="3">
        <v>123</v>
      </c>
      <c r="H6" s="3" t="s">
        <v>1</v>
      </c>
      <c r="I6" s="3">
        <v>50</v>
      </c>
      <c r="J6" s="3">
        <v>1</v>
      </c>
      <c r="L6" s="3">
        <f t="shared" ca="1" si="2"/>
        <v>35362.915000000001</v>
      </c>
      <c r="M6" s="3">
        <f t="shared" ca="1" si="0"/>
        <v>35383.334999999999</v>
      </c>
      <c r="N6" s="3">
        <f t="shared" ca="1" si="0"/>
        <v>35403.474999999999</v>
      </c>
      <c r="O6" s="3">
        <f t="shared" ca="1" si="0"/>
        <v>35463.303</v>
      </c>
      <c r="P6" s="3">
        <f t="shared" ca="1" si="0"/>
        <v>35393.785000000003</v>
      </c>
      <c r="Q6" s="3">
        <f t="shared" ca="1" si="0"/>
        <v>35415.396999999997</v>
      </c>
      <c r="R6" s="3">
        <f t="shared" ca="1" si="0"/>
        <v>35402.728999999999</v>
      </c>
      <c r="S6" s="3">
        <f t="shared" ca="1" si="0"/>
        <v>35396.396999999997</v>
      </c>
      <c r="T6" s="3">
        <f t="shared" ca="1" si="0"/>
        <v>35374.156999999999</v>
      </c>
      <c r="U6" s="3">
        <f t="shared" ca="1" si="0"/>
        <v>35454.071000000004</v>
      </c>
      <c r="W6" s="3">
        <f t="shared" ca="1" si="3"/>
        <v>35404.956400000003</v>
      </c>
      <c r="Y6" s="3">
        <f ca="1">Total!E6</f>
        <v>35277.981</v>
      </c>
      <c r="AB6" s="3">
        <f t="shared" ca="1" si="1"/>
        <v>2.4075640836702392E-3</v>
      </c>
      <c r="AC6" s="3">
        <f t="shared" ca="1" si="1"/>
        <v>2.98639539490651E-3</v>
      </c>
      <c r="AD6" s="3">
        <f t="shared" ca="1" si="1"/>
        <v>3.5572897439907001E-3</v>
      </c>
      <c r="AE6" s="3">
        <f t="shared" ca="1" si="1"/>
        <v>5.2531917855503157E-3</v>
      </c>
      <c r="AF6" s="3">
        <f t="shared" ca="1" si="1"/>
        <v>3.2826141609408918E-3</v>
      </c>
      <c r="AG6" s="3">
        <f t="shared" ca="1" si="1"/>
        <v>3.8952342539103199E-3</v>
      </c>
      <c r="AH6" s="3">
        <f t="shared" ca="1" si="1"/>
        <v>3.536143409114019E-3</v>
      </c>
      <c r="AI6" s="3">
        <f t="shared" ca="1" si="1"/>
        <v>3.3566546793025779E-3</v>
      </c>
      <c r="AJ6" s="3">
        <f t="shared" ca="1" si="1"/>
        <v>2.7262331140775736E-3</v>
      </c>
      <c r="AK6" s="3">
        <f t="shared" ca="1" si="1"/>
        <v>4.9914988048778584E-3</v>
      </c>
      <c r="AM6" s="3">
        <f t="shared" ca="1" si="4"/>
        <v>3.5992819430341001E-2</v>
      </c>
    </row>
    <row r="7" spans="1:39" x14ac:dyDescent="0.25">
      <c r="A7" s="3" t="s">
        <v>2</v>
      </c>
      <c r="B7" s="3">
        <v>24</v>
      </c>
      <c r="C7" s="3">
        <v>1</v>
      </c>
      <c r="D7" s="3">
        <v>55994.273000000001</v>
      </c>
      <c r="E7" s="3">
        <v>1.24</v>
      </c>
      <c r="F7" s="3">
        <v>122</v>
      </c>
      <c r="H7" s="3" t="s">
        <v>1</v>
      </c>
      <c r="I7" s="3">
        <v>100</v>
      </c>
      <c r="J7" s="3">
        <v>1</v>
      </c>
      <c r="L7" s="3">
        <f t="shared" ca="1" si="2"/>
        <v>63153.432000000001</v>
      </c>
      <c r="M7" s="3">
        <f t="shared" ca="1" si="0"/>
        <v>63172.841999999997</v>
      </c>
      <c r="N7" s="3">
        <f t="shared" ca="1" si="0"/>
        <v>63191.91</v>
      </c>
      <c r="O7" s="3">
        <f t="shared" ca="1" si="0"/>
        <v>63139.726999999999</v>
      </c>
      <c r="P7" s="3">
        <f t="shared" ca="1" si="0"/>
        <v>63190.224999999999</v>
      </c>
      <c r="Q7" s="3">
        <f t="shared" ca="1" si="0"/>
        <v>63157.631000000001</v>
      </c>
      <c r="R7" s="3">
        <f t="shared" ca="1" si="0"/>
        <v>63159.749000000003</v>
      </c>
      <c r="S7" s="3">
        <f t="shared" ca="1" si="0"/>
        <v>63196.578999999998</v>
      </c>
      <c r="T7" s="3">
        <f t="shared" ca="1" si="0"/>
        <v>63088.256000000001</v>
      </c>
      <c r="U7" s="3">
        <f t="shared" ca="1" si="0"/>
        <v>63114.114999999998</v>
      </c>
      <c r="W7" s="3">
        <f t="shared" ca="1" si="3"/>
        <v>63156.446600000003</v>
      </c>
      <c r="Y7" s="3">
        <f ca="1">Total!E7</f>
        <v>63035.512000000002</v>
      </c>
      <c r="AB7" s="3">
        <f t="shared" ca="1" si="1"/>
        <v>1.8706915555789926E-3</v>
      </c>
      <c r="AC7" s="3">
        <f t="shared" ca="1" si="1"/>
        <v>2.1786132236063134E-3</v>
      </c>
      <c r="AD7" s="3">
        <f t="shared" ca="1" si="1"/>
        <v>2.4811093784722657E-3</v>
      </c>
      <c r="AE7" s="3">
        <f t="shared" ca="1" si="1"/>
        <v>1.6532744272783333E-3</v>
      </c>
      <c r="AF7" s="3">
        <f t="shared" ca="1" si="1"/>
        <v>2.4543784145038133E-3</v>
      </c>
      <c r="AG7" s="3">
        <f t="shared" ca="1" si="1"/>
        <v>1.9373048005067171E-3</v>
      </c>
      <c r="AH7" s="3">
        <f t="shared" ca="1" si="1"/>
        <v>1.9709049083316875E-3</v>
      </c>
      <c r="AI7" s="3">
        <f t="shared" ca="1" si="1"/>
        <v>2.5551787379786087E-3</v>
      </c>
      <c r="AJ7" s="3">
        <f t="shared" ca="1" si="1"/>
        <v>8.3673469646758445E-4</v>
      </c>
      <c r="AK7" s="3">
        <f t="shared" ca="1" si="1"/>
        <v>1.2469637749590345E-3</v>
      </c>
      <c r="AM7" s="3">
        <f t="shared" ca="1" si="4"/>
        <v>1.9185153917683353E-2</v>
      </c>
    </row>
    <row r="8" spans="1:39" x14ac:dyDescent="0.25">
      <c r="A8" s="3" t="s">
        <v>2</v>
      </c>
      <c r="B8" s="3">
        <v>24</v>
      </c>
      <c r="C8" s="3">
        <v>1</v>
      </c>
      <c r="D8" s="3">
        <v>56007.192999999999</v>
      </c>
      <c r="E8" s="3">
        <v>1.2390000000000001</v>
      </c>
      <c r="F8" s="3">
        <v>128</v>
      </c>
      <c r="H8" s="3" t="s">
        <v>0</v>
      </c>
      <c r="I8" s="3">
        <v>25</v>
      </c>
      <c r="J8" s="3">
        <v>1</v>
      </c>
      <c r="L8" s="3">
        <f t="shared" ca="1" si="2"/>
        <v>723.471</v>
      </c>
      <c r="M8" s="3">
        <f t="shared" ca="1" si="0"/>
        <v>723.59500000000003</v>
      </c>
      <c r="N8" s="3">
        <f t="shared" ca="1" si="0"/>
        <v>723.57299999999998</v>
      </c>
      <c r="O8" s="3">
        <f t="shared" ca="1" si="0"/>
        <v>723.55700000000002</v>
      </c>
      <c r="P8" s="3">
        <f t="shared" ca="1" si="0"/>
        <v>723.79399999999998</v>
      </c>
      <c r="Q8" s="3">
        <f t="shared" ca="1" si="0"/>
        <v>723.37099999999998</v>
      </c>
      <c r="R8" s="3">
        <f t="shared" ca="1" si="0"/>
        <v>723.71600000000001</v>
      </c>
      <c r="S8" s="3">
        <f t="shared" ca="1" si="0"/>
        <v>723.35299999999995</v>
      </c>
      <c r="T8" s="3">
        <f t="shared" ca="1" si="0"/>
        <v>723.875</v>
      </c>
      <c r="U8" s="3">
        <f t="shared" ca="1" si="0"/>
        <v>722.96699999999998</v>
      </c>
      <c r="W8" s="3">
        <f t="shared" ca="1" si="3"/>
        <v>723.52719999999999</v>
      </c>
      <c r="Y8" s="3">
        <f ca="1">Total!E8</f>
        <v>722.92</v>
      </c>
      <c r="AB8" s="3">
        <f t="shared" ca="1" si="1"/>
        <v>7.621866873236936E-4</v>
      </c>
      <c r="AC8" s="3">
        <f t="shared" ca="1" si="1"/>
        <v>9.3371327394465263E-4</v>
      </c>
      <c r="AD8" s="3">
        <f t="shared" ca="1" si="1"/>
        <v>9.0328113760861518E-4</v>
      </c>
      <c r="AE8" s="3">
        <f t="shared" ca="1" si="1"/>
        <v>8.8114867481886973E-4</v>
      </c>
      <c r="AF8" s="3">
        <f t="shared" ca="1" si="1"/>
        <v>1.2089857798926902E-3</v>
      </c>
      <c r="AG8" s="3">
        <f t="shared" ca="1" si="1"/>
        <v>6.238587948874313E-4</v>
      </c>
      <c r="AH8" s="3">
        <f t="shared" ca="1" si="1"/>
        <v>1.1010900237924655E-3</v>
      </c>
      <c r="AI8" s="3">
        <f t="shared" ca="1" si="1"/>
        <v>5.9895977424886948E-4</v>
      </c>
      <c r="AJ8" s="3">
        <f t="shared" ca="1" si="1"/>
        <v>1.3210313727660611E-3</v>
      </c>
      <c r="AK8" s="3">
        <f t="shared" ca="1" si="1"/>
        <v>6.5014109445063727E-5</v>
      </c>
      <c r="AM8" s="3">
        <f t="shared" ca="1" si="4"/>
        <v>8.3992696287284122E-3</v>
      </c>
    </row>
    <row r="9" spans="1:39" x14ac:dyDescent="0.25">
      <c r="A9" s="3" t="s">
        <v>2</v>
      </c>
      <c r="B9" s="3">
        <v>24</v>
      </c>
      <c r="C9" s="3">
        <v>1</v>
      </c>
      <c r="D9" s="3">
        <v>55968.821000000004</v>
      </c>
      <c r="E9" s="3">
        <v>1.24</v>
      </c>
      <c r="F9" s="3">
        <v>125</v>
      </c>
      <c r="H9" s="3" t="s">
        <v>0</v>
      </c>
      <c r="I9" s="3">
        <v>50</v>
      </c>
      <c r="J9" s="3">
        <v>1</v>
      </c>
      <c r="L9" s="3">
        <f t="shared" ca="1" si="2"/>
        <v>1573.6179999999999</v>
      </c>
      <c r="M9" s="3">
        <f t="shared" ca="1" si="0"/>
        <v>1577.02</v>
      </c>
      <c r="N9" s="3">
        <f t="shared" ca="1" si="0"/>
        <v>1572.5160000000001</v>
      </c>
      <c r="O9" s="3">
        <f t="shared" ca="1" si="0"/>
        <v>1572.2159999999999</v>
      </c>
      <c r="P9" s="3">
        <f t="shared" ca="1" si="0"/>
        <v>1572.3689999999999</v>
      </c>
      <c r="Q9" s="3">
        <f t="shared" ca="1" si="0"/>
        <v>1572.8779999999999</v>
      </c>
      <c r="R9" s="3">
        <f t="shared" ca="1" si="0"/>
        <v>1572.213</v>
      </c>
      <c r="S9" s="3">
        <f t="shared" ca="1" si="0"/>
        <v>1572.212</v>
      </c>
      <c r="T9" s="3">
        <f t="shared" ca="1" si="0"/>
        <v>1572.6120000000001</v>
      </c>
      <c r="U9" s="3">
        <f t="shared" ca="1" si="0"/>
        <v>1572.55</v>
      </c>
      <c r="W9" s="3">
        <f t="shared" ca="1" si="3"/>
        <v>1573.0203999999999</v>
      </c>
      <c r="Y9" s="3">
        <f ca="1">Total!E9</f>
        <v>1570.17</v>
      </c>
      <c r="AB9" s="3">
        <f t="shared" ca="1" si="1"/>
        <v>2.1959405669448946E-3</v>
      </c>
      <c r="AC9" s="3">
        <f t="shared" ca="1" si="1"/>
        <v>4.3625849430315878E-3</v>
      </c>
      <c r="AD9" s="3">
        <f t="shared" ca="1" si="1"/>
        <v>1.4941057337740523E-3</v>
      </c>
      <c r="AE9" s="3">
        <f t="shared" ca="1" si="1"/>
        <v>1.3030436194805795E-3</v>
      </c>
      <c r="AF9" s="3">
        <f t="shared" ca="1" si="1"/>
        <v>1.4004852977702043E-3</v>
      </c>
      <c r="AG9" s="3">
        <f t="shared" ca="1" si="1"/>
        <v>1.7246540183546088E-3</v>
      </c>
      <c r="AH9" s="3">
        <f t="shared" ca="1" si="1"/>
        <v>1.3011329983376911E-3</v>
      </c>
      <c r="AI9" s="3">
        <f t="shared" ca="1" si="1"/>
        <v>1.3004961246233951E-3</v>
      </c>
      <c r="AJ9" s="3">
        <f t="shared" ca="1" si="1"/>
        <v>1.5552456103479287E-3</v>
      </c>
      <c r="AK9" s="3">
        <f t="shared" ca="1" si="1"/>
        <v>1.515759440060555E-3</v>
      </c>
      <c r="AM9" s="3">
        <f t="shared" ca="1" si="4"/>
        <v>1.8153448352725497E-2</v>
      </c>
    </row>
    <row r="10" spans="1:39" x14ac:dyDescent="0.25">
      <c r="A10" s="3" t="s">
        <v>2</v>
      </c>
      <c r="B10" s="3">
        <v>24</v>
      </c>
      <c r="C10" s="3">
        <v>1</v>
      </c>
      <c r="D10" s="3">
        <v>55971.171999999999</v>
      </c>
      <c r="E10" s="3">
        <v>1.2370000000000001</v>
      </c>
      <c r="F10" s="3">
        <v>120</v>
      </c>
      <c r="H10" s="3" t="s">
        <v>28</v>
      </c>
      <c r="I10" s="3">
        <v>100</v>
      </c>
      <c r="J10" s="3">
        <v>1</v>
      </c>
      <c r="L10" s="3">
        <f t="shared" ca="1" si="2"/>
        <v>3303.3789999999999</v>
      </c>
      <c r="M10" s="3">
        <f t="shared" ca="1" si="0"/>
        <v>3304.4009999999998</v>
      </c>
      <c r="N10" s="3">
        <f t="shared" ca="1" si="0"/>
        <v>3304.3580000000002</v>
      </c>
      <c r="O10" s="3">
        <f t="shared" ca="1" si="0"/>
        <v>3306.1619999999998</v>
      </c>
      <c r="P10" s="3">
        <f t="shared" ca="1" si="0"/>
        <v>3299.25</v>
      </c>
      <c r="Q10" s="3">
        <f t="shared" ca="1" si="0"/>
        <v>3305.8240000000001</v>
      </c>
      <c r="R10" s="3">
        <f t="shared" ca="1" si="0"/>
        <v>3305.6610000000001</v>
      </c>
      <c r="S10" s="3">
        <f t="shared" ca="1" si="0"/>
        <v>3301.4290000000001</v>
      </c>
      <c r="T10" s="3">
        <f t="shared" ca="1" si="0"/>
        <v>3292.1030000000001</v>
      </c>
      <c r="U10" s="3">
        <f t="shared" ca="1" si="0"/>
        <v>3298.9630000000002</v>
      </c>
      <c r="W10" s="3">
        <f t="shared" ca="1" si="3"/>
        <v>3302.1529999999998</v>
      </c>
      <c r="Y10" s="3">
        <f ca="1">Total!E10</f>
        <v>3290.5340000000001</v>
      </c>
      <c r="AB10" s="3">
        <f t="shared" ca="1" si="1"/>
        <v>3.9036217221884956E-3</v>
      </c>
      <c r="AC10" s="3">
        <f t="shared" ca="1" si="1"/>
        <v>4.2142096085315437E-3</v>
      </c>
      <c r="AD10" s="3">
        <f t="shared" ca="1" si="1"/>
        <v>4.2011418207500879E-3</v>
      </c>
      <c r="AE10" s="3">
        <f t="shared" ca="1" si="1"/>
        <v>4.7493811034925336E-3</v>
      </c>
      <c r="AF10" s="3">
        <f t="shared" ca="1" si="1"/>
        <v>2.648810193117559E-3</v>
      </c>
      <c r="AG10" s="3">
        <f t="shared" ca="1" si="1"/>
        <v>4.6466622134887416E-3</v>
      </c>
      <c r="AH10" s="3">
        <f t="shared" ca="1" si="1"/>
        <v>4.5971261807353919E-3</v>
      </c>
      <c r="AI10" s="3">
        <f t="shared" ca="1" si="1"/>
        <v>3.3110127413969836E-3</v>
      </c>
      <c r="AJ10" s="3">
        <f t="shared" ca="1" si="1"/>
        <v>4.7682230300612606E-4</v>
      </c>
      <c r="AK10" s="3">
        <f t="shared" ca="1" si="1"/>
        <v>2.5615903072267561E-3</v>
      </c>
      <c r="AM10" s="3">
        <f t="shared" ca="1" si="4"/>
        <v>3.5310378193934212E-2</v>
      </c>
    </row>
    <row r="11" spans="1:39" x14ac:dyDescent="0.25">
      <c r="A11" s="3" t="s">
        <v>2</v>
      </c>
      <c r="B11" s="3">
        <v>47</v>
      </c>
      <c r="C11" s="3">
        <v>1</v>
      </c>
      <c r="D11" s="3">
        <v>126379.306</v>
      </c>
      <c r="E11" s="3">
        <v>4.1449999999999996</v>
      </c>
      <c r="F11" s="3">
        <v>118</v>
      </c>
    </row>
    <row r="12" spans="1:39" x14ac:dyDescent="0.25">
      <c r="A12" s="3" t="s">
        <v>2</v>
      </c>
      <c r="B12" s="3">
        <v>47</v>
      </c>
      <c r="C12" s="3">
        <v>1</v>
      </c>
      <c r="D12" s="3">
        <v>126223.008</v>
      </c>
      <c r="E12" s="3">
        <v>4.1630000000000003</v>
      </c>
      <c r="F12" s="3">
        <v>119</v>
      </c>
    </row>
    <row r="13" spans="1:39" x14ac:dyDescent="0.25">
      <c r="A13" s="3" t="s">
        <v>2</v>
      </c>
      <c r="B13" s="3">
        <v>47</v>
      </c>
      <c r="C13" s="3">
        <v>1</v>
      </c>
      <c r="D13" s="3">
        <v>126269.658</v>
      </c>
      <c r="E13" s="3">
        <v>4.1399999999999997</v>
      </c>
      <c r="F13" s="3">
        <v>118</v>
      </c>
    </row>
    <row r="14" spans="1:39" x14ac:dyDescent="0.25">
      <c r="A14" s="3" t="s">
        <v>2</v>
      </c>
      <c r="B14" s="3">
        <v>47</v>
      </c>
      <c r="C14" s="3">
        <v>1</v>
      </c>
      <c r="D14" s="3">
        <v>126311.735</v>
      </c>
      <c r="E14" s="3">
        <v>4.1479999999999997</v>
      </c>
      <c r="F14" s="3">
        <v>122</v>
      </c>
    </row>
    <row r="15" spans="1:39" x14ac:dyDescent="0.25">
      <c r="A15" s="3" t="s">
        <v>2</v>
      </c>
      <c r="B15" s="3">
        <v>47</v>
      </c>
      <c r="C15" s="3">
        <v>1</v>
      </c>
      <c r="D15" s="3">
        <v>126300.077</v>
      </c>
      <c r="E15" s="3">
        <v>4.1479999999999997</v>
      </c>
      <c r="F15" s="3">
        <v>118</v>
      </c>
    </row>
    <row r="16" spans="1:39" x14ac:dyDescent="0.25">
      <c r="A16" s="3" t="s">
        <v>2</v>
      </c>
      <c r="B16" s="3">
        <v>47</v>
      </c>
      <c r="C16" s="3">
        <v>1</v>
      </c>
      <c r="D16" s="3">
        <v>126338.351</v>
      </c>
      <c r="E16" s="3">
        <v>4.1449999999999996</v>
      </c>
      <c r="F16" s="3">
        <v>119</v>
      </c>
    </row>
    <row r="17" spans="1:6" x14ac:dyDescent="0.25">
      <c r="A17" s="3" t="s">
        <v>2</v>
      </c>
      <c r="B17" s="3">
        <v>47</v>
      </c>
      <c r="C17" s="3">
        <v>1</v>
      </c>
      <c r="D17" s="3">
        <v>126398.587</v>
      </c>
      <c r="E17" s="3">
        <v>4.1509999999999998</v>
      </c>
      <c r="F17" s="3">
        <v>120</v>
      </c>
    </row>
    <row r="18" spans="1:6" x14ac:dyDescent="0.25">
      <c r="A18" s="3" t="s">
        <v>2</v>
      </c>
      <c r="B18" s="3">
        <v>47</v>
      </c>
      <c r="C18" s="3">
        <v>1</v>
      </c>
      <c r="D18" s="3">
        <v>126283.359</v>
      </c>
      <c r="E18" s="3">
        <v>4.1710000000000003</v>
      </c>
      <c r="F18" s="3">
        <v>117</v>
      </c>
    </row>
    <row r="19" spans="1:6" x14ac:dyDescent="0.25">
      <c r="A19" s="3" t="s">
        <v>2</v>
      </c>
      <c r="B19" s="3">
        <v>47</v>
      </c>
      <c r="C19" s="3">
        <v>1</v>
      </c>
      <c r="D19" s="3">
        <v>126281.62699999999</v>
      </c>
      <c r="E19" s="3">
        <v>4.1420000000000003</v>
      </c>
      <c r="F19" s="3">
        <v>118</v>
      </c>
    </row>
    <row r="20" spans="1:6" x14ac:dyDescent="0.25">
      <c r="A20" s="3" t="s">
        <v>2</v>
      </c>
      <c r="B20" s="3">
        <v>47</v>
      </c>
      <c r="C20" s="3">
        <v>1</v>
      </c>
      <c r="D20" s="3">
        <v>126296.38800000001</v>
      </c>
      <c r="E20" s="3">
        <v>4.165</v>
      </c>
      <c r="F20" s="3">
        <v>119</v>
      </c>
    </row>
    <row r="21" spans="1:6" x14ac:dyDescent="0.25">
      <c r="A21" s="3" t="s">
        <v>2</v>
      </c>
      <c r="B21" s="3">
        <v>100</v>
      </c>
      <c r="C21" s="3">
        <v>1</v>
      </c>
      <c r="D21" s="3">
        <v>1217393.983</v>
      </c>
      <c r="E21" s="3">
        <v>22.062000000000001</v>
      </c>
      <c r="F21" s="3">
        <v>129</v>
      </c>
    </row>
    <row r="22" spans="1:6" x14ac:dyDescent="0.25">
      <c r="A22" s="3" t="s">
        <v>2</v>
      </c>
      <c r="B22" s="3">
        <v>100</v>
      </c>
      <c r="C22" s="3">
        <v>1</v>
      </c>
      <c r="D22" s="3">
        <v>1216708.9790000001</v>
      </c>
      <c r="E22" s="3">
        <v>22.117999999999999</v>
      </c>
      <c r="F22" s="3">
        <v>128</v>
      </c>
    </row>
    <row r="23" spans="1:6" x14ac:dyDescent="0.25">
      <c r="A23" s="3" t="s">
        <v>2</v>
      </c>
      <c r="B23" s="3">
        <v>100</v>
      </c>
      <c r="C23" s="3">
        <v>1</v>
      </c>
      <c r="D23" s="3">
        <v>1217003.9269999999</v>
      </c>
      <c r="E23" s="3">
        <v>22.138999999999999</v>
      </c>
      <c r="F23" s="3">
        <v>129</v>
      </c>
    </row>
    <row r="24" spans="1:6" x14ac:dyDescent="0.25">
      <c r="A24" s="3" t="s">
        <v>2</v>
      </c>
      <c r="B24" s="3">
        <v>100</v>
      </c>
      <c r="C24" s="3">
        <v>1</v>
      </c>
      <c r="D24" s="3">
        <v>1217131.7509999999</v>
      </c>
      <c r="E24" s="3">
        <v>22.16</v>
      </c>
      <c r="F24" s="3">
        <v>128</v>
      </c>
    </row>
    <row r="25" spans="1:6" x14ac:dyDescent="0.25">
      <c r="A25" s="3" t="s">
        <v>2</v>
      </c>
      <c r="B25" s="3">
        <v>100</v>
      </c>
      <c r="C25" s="3">
        <v>1</v>
      </c>
      <c r="D25" s="3">
        <v>1217039.5730000001</v>
      </c>
      <c r="E25" s="3">
        <v>22.068999999999999</v>
      </c>
      <c r="F25" s="3">
        <v>127</v>
      </c>
    </row>
    <row r="26" spans="1:6" x14ac:dyDescent="0.25">
      <c r="A26" s="3" t="s">
        <v>2</v>
      </c>
      <c r="B26" s="3">
        <v>100</v>
      </c>
      <c r="C26" s="3">
        <v>1</v>
      </c>
      <c r="D26" s="3">
        <v>1217694.571</v>
      </c>
      <c r="E26" s="3">
        <v>22.140999999999998</v>
      </c>
      <c r="F26" s="3">
        <v>131</v>
      </c>
    </row>
    <row r="27" spans="1:6" x14ac:dyDescent="0.25">
      <c r="A27" s="3" t="s">
        <v>2</v>
      </c>
      <c r="B27" s="3">
        <v>100</v>
      </c>
      <c r="C27" s="3">
        <v>1</v>
      </c>
      <c r="D27" s="3">
        <v>1217032.2409999999</v>
      </c>
      <c r="E27" s="3">
        <v>22.138999999999999</v>
      </c>
      <c r="F27" s="3">
        <v>129</v>
      </c>
    </row>
    <row r="28" spans="1:6" x14ac:dyDescent="0.25">
      <c r="A28" s="3" t="s">
        <v>2</v>
      </c>
      <c r="B28" s="3">
        <v>100</v>
      </c>
      <c r="C28" s="3">
        <v>1</v>
      </c>
      <c r="D28" s="3">
        <v>1216974.3840000001</v>
      </c>
      <c r="E28" s="3">
        <v>22.173999999999999</v>
      </c>
      <c r="F28" s="3">
        <v>129</v>
      </c>
    </row>
    <row r="29" spans="1:6" x14ac:dyDescent="0.25">
      <c r="A29" s="3" t="s">
        <v>2</v>
      </c>
      <c r="B29" s="3">
        <v>100</v>
      </c>
      <c r="C29" s="3">
        <v>1</v>
      </c>
      <c r="D29" s="3">
        <v>1217352.439</v>
      </c>
      <c r="E29" s="3">
        <v>22.126999999999999</v>
      </c>
      <c r="F29" s="3">
        <v>129</v>
      </c>
    </row>
    <row r="30" spans="1:6" x14ac:dyDescent="0.25">
      <c r="A30" s="3" t="s">
        <v>2</v>
      </c>
      <c r="B30" s="3">
        <v>100</v>
      </c>
      <c r="C30" s="3">
        <v>1</v>
      </c>
      <c r="D30" s="3">
        <v>1217123.1910000001</v>
      </c>
      <c r="E30" s="3">
        <v>22.094000000000001</v>
      </c>
      <c r="F30" s="3">
        <v>129</v>
      </c>
    </row>
    <row r="31" spans="1:6" x14ac:dyDescent="0.25">
      <c r="A31" s="3" t="s">
        <v>1</v>
      </c>
      <c r="B31" s="3">
        <v>30</v>
      </c>
      <c r="C31" s="3">
        <v>1</v>
      </c>
      <c r="D31" s="3">
        <v>19990.638999999999</v>
      </c>
      <c r="E31" s="3">
        <v>1.3580000000000001</v>
      </c>
      <c r="F31" s="3">
        <v>85</v>
      </c>
    </row>
    <row r="32" spans="1:6" x14ac:dyDescent="0.25">
      <c r="A32" s="3" t="s">
        <v>1</v>
      </c>
      <c r="B32" s="3">
        <v>30</v>
      </c>
      <c r="C32" s="3">
        <v>1</v>
      </c>
      <c r="D32" s="3">
        <v>20032.843000000001</v>
      </c>
      <c r="E32" s="3">
        <v>1.3560000000000001</v>
      </c>
      <c r="F32" s="3">
        <v>85</v>
      </c>
    </row>
    <row r="33" spans="1:6" x14ac:dyDescent="0.25">
      <c r="A33" s="3" t="s">
        <v>1</v>
      </c>
      <c r="B33" s="3">
        <v>30</v>
      </c>
      <c r="C33" s="3">
        <v>1</v>
      </c>
      <c r="D33" s="3">
        <v>20029.808000000001</v>
      </c>
      <c r="E33" s="3">
        <v>1.4019999999999999</v>
      </c>
      <c r="F33" s="3">
        <v>88</v>
      </c>
    </row>
    <row r="34" spans="1:6" x14ac:dyDescent="0.25">
      <c r="A34" s="3" t="s">
        <v>1</v>
      </c>
      <c r="B34" s="3">
        <v>30</v>
      </c>
      <c r="C34" s="3">
        <v>1</v>
      </c>
      <c r="D34" s="3">
        <v>20049.657999999999</v>
      </c>
      <c r="E34" s="3">
        <v>1.35</v>
      </c>
      <c r="F34" s="3">
        <v>86</v>
      </c>
    </row>
    <row r="35" spans="1:6" x14ac:dyDescent="0.25">
      <c r="A35" s="3" t="s">
        <v>1</v>
      </c>
      <c r="B35" s="3">
        <v>30</v>
      </c>
      <c r="C35" s="3">
        <v>1</v>
      </c>
      <c r="D35" s="3">
        <v>20042.634999999998</v>
      </c>
      <c r="E35" s="3">
        <v>1.347</v>
      </c>
      <c r="F35" s="3">
        <v>85</v>
      </c>
    </row>
    <row r="36" spans="1:6" x14ac:dyDescent="0.25">
      <c r="A36" s="3" t="s">
        <v>1</v>
      </c>
      <c r="B36" s="3">
        <v>30</v>
      </c>
      <c r="C36" s="3">
        <v>1</v>
      </c>
      <c r="D36" s="3">
        <v>20027.891</v>
      </c>
      <c r="E36" s="3">
        <v>1.351</v>
      </c>
      <c r="F36" s="3">
        <v>81</v>
      </c>
    </row>
    <row r="37" spans="1:6" x14ac:dyDescent="0.25">
      <c r="A37" s="3" t="s">
        <v>1</v>
      </c>
      <c r="B37" s="3">
        <v>30</v>
      </c>
      <c r="C37" s="3">
        <v>1</v>
      </c>
      <c r="D37" s="3">
        <v>20020.688999999998</v>
      </c>
      <c r="E37" s="3">
        <v>1.3540000000000001</v>
      </c>
      <c r="F37" s="3">
        <v>83</v>
      </c>
    </row>
    <row r="38" spans="1:6" x14ac:dyDescent="0.25">
      <c r="A38" s="3" t="s">
        <v>1</v>
      </c>
      <c r="B38" s="3">
        <v>30</v>
      </c>
      <c r="C38" s="3">
        <v>1</v>
      </c>
      <c r="D38" s="3">
        <v>20032.168000000001</v>
      </c>
      <c r="E38" s="3">
        <v>1.349</v>
      </c>
      <c r="F38" s="3">
        <v>84</v>
      </c>
    </row>
    <row r="39" spans="1:6" x14ac:dyDescent="0.25">
      <c r="A39" s="3" t="s">
        <v>1</v>
      </c>
      <c r="B39" s="3">
        <v>30</v>
      </c>
      <c r="C39" s="3">
        <v>1</v>
      </c>
      <c r="D39" s="3">
        <v>20014.173999999999</v>
      </c>
      <c r="E39" s="3">
        <v>1.347</v>
      </c>
      <c r="F39" s="3">
        <v>77</v>
      </c>
    </row>
    <row r="40" spans="1:6" x14ac:dyDescent="0.25">
      <c r="A40" s="3" t="s">
        <v>1</v>
      </c>
      <c r="B40" s="3">
        <v>30</v>
      </c>
      <c r="C40" s="3">
        <v>1</v>
      </c>
      <c r="D40" s="3">
        <v>20017.884999999998</v>
      </c>
      <c r="E40" s="3">
        <v>1.351</v>
      </c>
      <c r="F40" s="3">
        <v>84</v>
      </c>
    </row>
    <row r="41" spans="1:6" x14ac:dyDescent="0.25">
      <c r="A41" s="3" t="s">
        <v>1</v>
      </c>
      <c r="B41" s="3">
        <v>50</v>
      </c>
      <c r="C41" s="3">
        <v>1</v>
      </c>
      <c r="D41" s="3">
        <v>35362.915000000001</v>
      </c>
      <c r="E41" s="3">
        <v>3.0489999999999999</v>
      </c>
      <c r="F41" s="3">
        <v>75</v>
      </c>
    </row>
    <row r="42" spans="1:6" x14ac:dyDescent="0.25">
      <c r="A42" s="3" t="s">
        <v>1</v>
      </c>
      <c r="B42" s="3">
        <v>50</v>
      </c>
      <c r="C42" s="3">
        <v>1</v>
      </c>
      <c r="D42" s="3">
        <v>35383.334999999999</v>
      </c>
      <c r="E42" s="3">
        <v>3.0379999999999998</v>
      </c>
      <c r="F42" s="3">
        <v>76</v>
      </c>
    </row>
    <row r="43" spans="1:6" x14ac:dyDescent="0.25">
      <c r="A43" s="3" t="s">
        <v>1</v>
      </c>
      <c r="B43" s="3">
        <v>50</v>
      </c>
      <c r="C43" s="3">
        <v>1</v>
      </c>
      <c r="D43" s="3">
        <v>35403.474999999999</v>
      </c>
      <c r="E43" s="3">
        <v>3.0430000000000001</v>
      </c>
      <c r="F43" s="3">
        <v>75</v>
      </c>
    </row>
    <row r="44" spans="1:6" x14ac:dyDescent="0.25">
      <c r="A44" s="3" t="s">
        <v>1</v>
      </c>
      <c r="B44" s="3">
        <v>50</v>
      </c>
      <c r="C44" s="3">
        <v>1</v>
      </c>
      <c r="D44" s="3">
        <v>35463.303</v>
      </c>
      <c r="E44" s="3">
        <v>3.044</v>
      </c>
      <c r="F44" s="3">
        <v>76</v>
      </c>
    </row>
    <row r="45" spans="1:6" x14ac:dyDescent="0.25">
      <c r="A45" s="3" t="s">
        <v>1</v>
      </c>
      <c r="B45" s="3">
        <v>50</v>
      </c>
      <c r="C45" s="3">
        <v>1</v>
      </c>
      <c r="D45" s="3">
        <v>35393.785000000003</v>
      </c>
      <c r="E45" s="3">
        <v>3.0379999999999998</v>
      </c>
      <c r="F45" s="3">
        <v>79</v>
      </c>
    </row>
    <row r="46" spans="1:6" x14ac:dyDescent="0.25">
      <c r="A46" s="3" t="s">
        <v>1</v>
      </c>
      <c r="B46" s="3">
        <v>50</v>
      </c>
      <c r="C46" s="3">
        <v>1</v>
      </c>
      <c r="D46" s="3">
        <v>35415.396999999997</v>
      </c>
      <c r="E46" s="3">
        <v>3.0430000000000001</v>
      </c>
      <c r="F46" s="3">
        <v>76</v>
      </c>
    </row>
    <row r="47" spans="1:6" x14ac:dyDescent="0.25">
      <c r="A47" s="3" t="s">
        <v>1</v>
      </c>
      <c r="B47" s="3">
        <v>50</v>
      </c>
      <c r="C47" s="3">
        <v>1</v>
      </c>
      <c r="D47" s="3">
        <v>35402.728999999999</v>
      </c>
      <c r="E47" s="3">
        <v>3.056</v>
      </c>
      <c r="F47" s="3">
        <v>76</v>
      </c>
    </row>
    <row r="48" spans="1:6" x14ac:dyDescent="0.25">
      <c r="A48" s="3" t="s">
        <v>1</v>
      </c>
      <c r="B48" s="3">
        <v>50</v>
      </c>
      <c r="C48" s="3">
        <v>1</v>
      </c>
      <c r="D48" s="3">
        <v>35396.396999999997</v>
      </c>
      <c r="E48" s="3">
        <v>3.0329999999999999</v>
      </c>
      <c r="F48" s="3">
        <v>76</v>
      </c>
    </row>
    <row r="49" spans="1:6" x14ac:dyDescent="0.25">
      <c r="A49" s="3" t="s">
        <v>1</v>
      </c>
      <c r="B49" s="3">
        <v>50</v>
      </c>
      <c r="C49" s="3">
        <v>1</v>
      </c>
      <c r="D49" s="3">
        <v>35374.156999999999</v>
      </c>
      <c r="E49" s="3">
        <v>3.0579999999999998</v>
      </c>
      <c r="F49" s="3">
        <v>76</v>
      </c>
    </row>
    <row r="50" spans="1:6" x14ac:dyDescent="0.25">
      <c r="A50" s="3" t="s">
        <v>1</v>
      </c>
      <c r="B50" s="3">
        <v>50</v>
      </c>
      <c r="C50" s="3">
        <v>1</v>
      </c>
      <c r="D50" s="3">
        <v>35454.071000000004</v>
      </c>
      <c r="E50" s="3">
        <v>3.0579999999999998</v>
      </c>
      <c r="F50" s="3">
        <v>78</v>
      </c>
    </row>
    <row r="51" spans="1:6" x14ac:dyDescent="0.25">
      <c r="A51" s="3" t="s">
        <v>1</v>
      </c>
      <c r="B51" s="3">
        <v>100</v>
      </c>
      <c r="C51" s="3">
        <v>1</v>
      </c>
      <c r="D51" s="3">
        <v>63153.432000000001</v>
      </c>
      <c r="E51" s="3">
        <v>11.772</v>
      </c>
      <c r="F51" s="3">
        <v>70</v>
      </c>
    </row>
    <row r="52" spans="1:6" x14ac:dyDescent="0.25">
      <c r="A52" s="3" t="s">
        <v>1</v>
      </c>
      <c r="B52" s="3">
        <v>100</v>
      </c>
      <c r="C52" s="3">
        <v>1</v>
      </c>
      <c r="D52" s="3">
        <v>63172.841999999997</v>
      </c>
      <c r="E52" s="3">
        <v>11.746</v>
      </c>
      <c r="F52" s="3">
        <v>71</v>
      </c>
    </row>
    <row r="53" spans="1:6" x14ac:dyDescent="0.25">
      <c r="A53" s="3" t="s">
        <v>1</v>
      </c>
      <c r="B53" s="3">
        <v>100</v>
      </c>
      <c r="C53" s="3">
        <v>1</v>
      </c>
      <c r="D53" s="3">
        <v>63191.91</v>
      </c>
      <c r="E53" s="3">
        <v>11.678000000000001</v>
      </c>
      <c r="F53" s="3">
        <v>70</v>
      </c>
    </row>
    <row r="54" spans="1:6" x14ac:dyDescent="0.25">
      <c r="A54" s="3" t="s">
        <v>1</v>
      </c>
      <c r="B54" s="3">
        <v>100</v>
      </c>
      <c r="C54" s="3">
        <v>1</v>
      </c>
      <c r="D54" s="3">
        <v>63139.726999999999</v>
      </c>
      <c r="E54" s="3">
        <v>11.760999999999999</v>
      </c>
      <c r="F54" s="3">
        <v>71</v>
      </c>
    </row>
    <row r="55" spans="1:6" x14ac:dyDescent="0.25">
      <c r="A55" s="3" t="s">
        <v>1</v>
      </c>
      <c r="B55" s="3">
        <v>100</v>
      </c>
      <c r="C55" s="3">
        <v>1</v>
      </c>
      <c r="D55" s="3">
        <v>63190.224999999999</v>
      </c>
      <c r="E55" s="3">
        <v>11.776</v>
      </c>
      <c r="F55" s="3">
        <v>72</v>
      </c>
    </row>
    <row r="56" spans="1:6" x14ac:dyDescent="0.25">
      <c r="A56" s="3" t="s">
        <v>1</v>
      </c>
      <c r="B56" s="3">
        <v>100</v>
      </c>
      <c r="C56" s="3">
        <v>1</v>
      </c>
      <c r="D56" s="3">
        <v>63157.631000000001</v>
      </c>
      <c r="E56" s="3">
        <v>11.677</v>
      </c>
      <c r="F56" s="3">
        <v>71</v>
      </c>
    </row>
    <row r="57" spans="1:6" x14ac:dyDescent="0.25">
      <c r="A57" s="3" t="s">
        <v>1</v>
      </c>
      <c r="B57" s="3">
        <v>100</v>
      </c>
      <c r="C57" s="3">
        <v>1</v>
      </c>
      <c r="D57" s="3">
        <v>63159.749000000003</v>
      </c>
      <c r="E57" s="3">
        <v>11.755000000000001</v>
      </c>
      <c r="F57" s="3">
        <v>71</v>
      </c>
    </row>
    <row r="58" spans="1:6" x14ac:dyDescent="0.25">
      <c r="A58" s="3" t="s">
        <v>1</v>
      </c>
      <c r="B58" s="3">
        <v>100</v>
      </c>
      <c r="C58" s="3">
        <v>1</v>
      </c>
      <c r="D58" s="3">
        <v>63196.578999999998</v>
      </c>
      <c r="E58" s="3">
        <v>11.682</v>
      </c>
      <c r="F58" s="3">
        <v>71</v>
      </c>
    </row>
    <row r="59" spans="1:6" x14ac:dyDescent="0.25">
      <c r="A59" s="3" t="s">
        <v>1</v>
      </c>
      <c r="B59" s="3">
        <v>100</v>
      </c>
      <c r="C59" s="3">
        <v>1</v>
      </c>
      <c r="D59" s="3">
        <v>63088.256000000001</v>
      </c>
      <c r="E59" s="3">
        <v>11.728</v>
      </c>
      <c r="F59" s="3">
        <v>72</v>
      </c>
    </row>
    <row r="60" spans="1:6" x14ac:dyDescent="0.25">
      <c r="A60" s="3" t="s">
        <v>1</v>
      </c>
      <c r="B60" s="3">
        <v>100</v>
      </c>
      <c r="C60" s="3">
        <v>1</v>
      </c>
      <c r="D60" s="3">
        <v>63114.114999999998</v>
      </c>
      <c r="E60" s="3">
        <v>11.734</v>
      </c>
      <c r="F60" s="3">
        <v>69</v>
      </c>
    </row>
    <row r="61" spans="1:6" x14ac:dyDescent="0.25">
      <c r="A61" s="3" t="s">
        <v>0</v>
      </c>
      <c r="B61" s="3">
        <v>25</v>
      </c>
      <c r="C61" s="3">
        <v>1</v>
      </c>
      <c r="D61" s="3">
        <v>723.471</v>
      </c>
      <c r="E61" s="3">
        <v>0.91600000000000004</v>
      </c>
      <c r="F61" s="3">
        <v>73</v>
      </c>
    </row>
    <row r="62" spans="1:6" x14ac:dyDescent="0.25">
      <c r="A62" s="3" t="s">
        <v>0</v>
      </c>
      <c r="B62" s="3">
        <v>25</v>
      </c>
      <c r="C62" s="3">
        <v>1</v>
      </c>
      <c r="D62" s="3">
        <v>723.59500000000003</v>
      </c>
      <c r="E62" s="3">
        <v>0.90500000000000003</v>
      </c>
      <c r="F62" s="3">
        <v>83</v>
      </c>
    </row>
    <row r="63" spans="1:6" x14ac:dyDescent="0.25">
      <c r="A63" s="3" t="s">
        <v>0</v>
      </c>
      <c r="B63" s="3">
        <v>25</v>
      </c>
      <c r="C63" s="3">
        <v>1</v>
      </c>
      <c r="D63" s="3">
        <v>723.57299999999998</v>
      </c>
      <c r="E63" s="3">
        <v>0.90200000000000002</v>
      </c>
      <c r="F63" s="3">
        <v>73</v>
      </c>
    </row>
    <row r="64" spans="1:6" x14ac:dyDescent="0.25">
      <c r="A64" s="3" t="s">
        <v>0</v>
      </c>
      <c r="B64" s="3">
        <v>25</v>
      </c>
      <c r="C64" s="3">
        <v>1</v>
      </c>
      <c r="D64" s="3">
        <v>723.55700000000002</v>
      </c>
      <c r="E64" s="3">
        <v>0.90900000000000003</v>
      </c>
      <c r="F64" s="3">
        <v>85</v>
      </c>
    </row>
    <row r="65" spans="1:6" x14ac:dyDescent="0.25">
      <c r="A65" s="3" t="s">
        <v>0</v>
      </c>
      <c r="B65" s="3">
        <v>25</v>
      </c>
      <c r="C65" s="3">
        <v>1</v>
      </c>
      <c r="D65" s="3">
        <v>723.79399999999998</v>
      </c>
      <c r="E65" s="3">
        <v>0.90100000000000002</v>
      </c>
      <c r="F65" s="3">
        <v>77</v>
      </c>
    </row>
    <row r="66" spans="1:6" x14ac:dyDescent="0.25">
      <c r="A66" s="3" t="s">
        <v>0</v>
      </c>
      <c r="B66" s="3">
        <v>25</v>
      </c>
      <c r="C66" s="3">
        <v>1</v>
      </c>
      <c r="D66" s="3">
        <v>723.37099999999998</v>
      </c>
      <c r="E66" s="3">
        <v>0.90600000000000003</v>
      </c>
      <c r="F66" s="3">
        <v>84</v>
      </c>
    </row>
    <row r="67" spans="1:6" x14ac:dyDescent="0.25">
      <c r="A67" s="3" t="s">
        <v>0</v>
      </c>
      <c r="B67" s="3">
        <v>25</v>
      </c>
      <c r="C67" s="3">
        <v>1</v>
      </c>
      <c r="D67" s="3">
        <v>723.71600000000001</v>
      </c>
      <c r="E67" s="3">
        <v>0.90200000000000002</v>
      </c>
      <c r="F67" s="3">
        <v>78</v>
      </c>
    </row>
    <row r="68" spans="1:6" x14ac:dyDescent="0.25">
      <c r="A68" s="3" t="s">
        <v>0</v>
      </c>
      <c r="B68" s="3">
        <v>25</v>
      </c>
      <c r="C68" s="3">
        <v>1</v>
      </c>
      <c r="D68" s="3">
        <v>723.35299999999995</v>
      </c>
      <c r="E68" s="3">
        <v>0.90700000000000003</v>
      </c>
      <c r="F68" s="3">
        <v>80</v>
      </c>
    </row>
    <row r="69" spans="1:6" x14ac:dyDescent="0.25">
      <c r="A69" s="3" t="s">
        <v>0</v>
      </c>
      <c r="B69" s="3">
        <v>25</v>
      </c>
      <c r="C69" s="3">
        <v>1</v>
      </c>
      <c r="D69" s="3">
        <v>723.875</v>
      </c>
      <c r="E69" s="3">
        <v>0.90200000000000002</v>
      </c>
      <c r="F69" s="3">
        <v>74</v>
      </c>
    </row>
    <row r="70" spans="1:6" x14ac:dyDescent="0.25">
      <c r="A70" s="3" t="s">
        <v>0</v>
      </c>
      <c r="B70" s="3">
        <v>25</v>
      </c>
      <c r="C70" s="3">
        <v>1</v>
      </c>
      <c r="D70" s="3">
        <v>722.96699999999998</v>
      </c>
      <c r="E70" s="3">
        <v>0.90100000000000002</v>
      </c>
      <c r="F70" s="3">
        <v>86</v>
      </c>
    </row>
    <row r="71" spans="1:6" x14ac:dyDescent="0.25">
      <c r="A71" s="3" t="s">
        <v>0</v>
      </c>
      <c r="B71" s="3">
        <v>50</v>
      </c>
      <c r="C71" s="3">
        <v>1</v>
      </c>
      <c r="D71" s="3">
        <v>1573.6179999999999</v>
      </c>
      <c r="E71" s="3">
        <v>3.3690000000000002</v>
      </c>
      <c r="F71" s="3">
        <v>86</v>
      </c>
    </row>
    <row r="72" spans="1:6" x14ac:dyDescent="0.25">
      <c r="A72" s="3" t="s">
        <v>0</v>
      </c>
      <c r="B72" s="3">
        <v>50</v>
      </c>
      <c r="C72" s="3">
        <v>1</v>
      </c>
      <c r="D72" s="3">
        <v>1577.02</v>
      </c>
      <c r="E72" s="3">
        <v>3.37</v>
      </c>
      <c r="F72" s="3">
        <v>85</v>
      </c>
    </row>
    <row r="73" spans="1:6" x14ac:dyDescent="0.25">
      <c r="A73" s="3" t="s">
        <v>0</v>
      </c>
      <c r="B73" s="3">
        <v>50</v>
      </c>
      <c r="C73" s="3">
        <v>1</v>
      </c>
      <c r="D73" s="3">
        <v>1572.5160000000001</v>
      </c>
      <c r="E73" s="3">
        <v>3.3849999999999998</v>
      </c>
      <c r="F73" s="3">
        <v>88</v>
      </c>
    </row>
    <row r="74" spans="1:6" x14ac:dyDescent="0.25">
      <c r="A74" s="3" t="s">
        <v>0</v>
      </c>
      <c r="B74" s="3">
        <v>50</v>
      </c>
      <c r="C74" s="3">
        <v>1</v>
      </c>
      <c r="D74" s="3">
        <v>1572.2159999999999</v>
      </c>
      <c r="E74" s="3">
        <v>3.387</v>
      </c>
      <c r="F74" s="3">
        <v>87</v>
      </c>
    </row>
    <row r="75" spans="1:6" x14ac:dyDescent="0.25">
      <c r="A75" s="3" t="s">
        <v>0</v>
      </c>
      <c r="B75" s="3">
        <v>50</v>
      </c>
      <c r="C75" s="3">
        <v>1</v>
      </c>
      <c r="D75" s="3">
        <v>1572.3689999999999</v>
      </c>
      <c r="E75" s="3">
        <v>3.375</v>
      </c>
      <c r="F75" s="3">
        <v>86</v>
      </c>
    </row>
    <row r="76" spans="1:6" x14ac:dyDescent="0.25">
      <c r="A76" s="3" t="s">
        <v>0</v>
      </c>
      <c r="B76" s="3">
        <v>50</v>
      </c>
      <c r="C76" s="3">
        <v>1</v>
      </c>
      <c r="D76" s="3">
        <v>1572.8779999999999</v>
      </c>
      <c r="E76" s="3">
        <v>3.387</v>
      </c>
      <c r="F76" s="3">
        <v>86</v>
      </c>
    </row>
    <row r="77" spans="1:6" x14ac:dyDescent="0.25">
      <c r="A77" s="3" t="s">
        <v>0</v>
      </c>
      <c r="B77" s="3">
        <v>50</v>
      </c>
      <c r="C77" s="3">
        <v>1</v>
      </c>
      <c r="D77" s="3">
        <v>1572.213</v>
      </c>
      <c r="E77" s="3">
        <v>3.391</v>
      </c>
      <c r="F77" s="3">
        <v>88</v>
      </c>
    </row>
    <row r="78" spans="1:6" x14ac:dyDescent="0.25">
      <c r="A78" s="3" t="s">
        <v>0</v>
      </c>
      <c r="B78" s="3">
        <v>50</v>
      </c>
      <c r="C78" s="3">
        <v>1</v>
      </c>
      <c r="D78" s="3">
        <v>1572.212</v>
      </c>
      <c r="E78" s="3">
        <v>3.383</v>
      </c>
      <c r="F78" s="3">
        <v>85</v>
      </c>
    </row>
    <row r="79" spans="1:6" x14ac:dyDescent="0.25">
      <c r="A79" s="3" t="s">
        <v>0</v>
      </c>
      <c r="B79" s="3">
        <v>50</v>
      </c>
      <c r="C79" s="3">
        <v>1</v>
      </c>
      <c r="D79" s="3">
        <v>1572.6120000000001</v>
      </c>
      <c r="E79" s="3">
        <v>3.3769999999999998</v>
      </c>
      <c r="F79" s="3">
        <v>86</v>
      </c>
    </row>
    <row r="80" spans="1:6" x14ac:dyDescent="0.25">
      <c r="A80" s="3" t="s">
        <v>0</v>
      </c>
      <c r="B80" s="3">
        <v>50</v>
      </c>
      <c r="C80" s="3">
        <v>1</v>
      </c>
      <c r="D80" s="3">
        <v>1572.55</v>
      </c>
      <c r="E80" s="3">
        <v>3.391</v>
      </c>
      <c r="F80" s="3">
        <v>86</v>
      </c>
    </row>
    <row r="81" spans="1:6" x14ac:dyDescent="0.25">
      <c r="A81" s="3" t="s">
        <v>0</v>
      </c>
      <c r="B81" s="3">
        <v>100</v>
      </c>
      <c r="C81" s="3">
        <v>1</v>
      </c>
      <c r="D81" s="3">
        <v>3303.3789999999999</v>
      </c>
      <c r="E81" s="3">
        <v>11.419</v>
      </c>
      <c r="F81" s="3">
        <v>68</v>
      </c>
    </row>
    <row r="82" spans="1:6" x14ac:dyDescent="0.25">
      <c r="A82" s="3" t="s">
        <v>0</v>
      </c>
      <c r="B82" s="3">
        <v>100</v>
      </c>
      <c r="C82" s="3">
        <v>1</v>
      </c>
      <c r="D82" s="3">
        <v>3304.4009999999998</v>
      </c>
      <c r="E82" s="3">
        <v>11.351000000000001</v>
      </c>
      <c r="F82" s="3">
        <v>68</v>
      </c>
    </row>
    <row r="83" spans="1:6" x14ac:dyDescent="0.25">
      <c r="A83" s="3" t="s">
        <v>0</v>
      </c>
      <c r="B83" s="3">
        <v>100</v>
      </c>
      <c r="C83" s="3">
        <v>1</v>
      </c>
      <c r="D83" s="3">
        <v>3304.3580000000002</v>
      </c>
      <c r="E83" s="3">
        <v>11.500999999999999</v>
      </c>
      <c r="F83" s="3">
        <v>68</v>
      </c>
    </row>
    <row r="84" spans="1:6" x14ac:dyDescent="0.25">
      <c r="A84" s="3" t="s">
        <v>0</v>
      </c>
      <c r="B84" s="3">
        <v>100</v>
      </c>
      <c r="C84" s="3">
        <v>1</v>
      </c>
      <c r="D84" s="3">
        <v>3306.1619999999998</v>
      </c>
      <c r="E84" s="3">
        <v>11.425000000000001</v>
      </c>
      <c r="F84" s="3">
        <v>68</v>
      </c>
    </row>
    <row r="85" spans="1:6" x14ac:dyDescent="0.25">
      <c r="A85" s="3" t="s">
        <v>0</v>
      </c>
      <c r="B85" s="3">
        <v>100</v>
      </c>
      <c r="C85" s="3">
        <v>1</v>
      </c>
      <c r="D85" s="3">
        <v>3299.25</v>
      </c>
      <c r="E85" s="3">
        <v>11.436</v>
      </c>
      <c r="F85" s="3">
        <v>69</v>
      </c>
    </row>
    <row r="86" spans="1:6" x14ac:dyDescent="0.25">
      <c r="A86" s="3" t="s">
        <v>0</v>
      </c>
      <c r="B86" s="3">
        <v>100</v>
      </c>
      <c r="C86" s="3">
        <v>1</v>
      </c>
      <c r="D86" s="3">
        <v>3305.8240000000001</v>
      </c>
      <c r="E86" s="3">
        <v>11.315</v>
      </c>
      <c r="F86" s="3">
        <v>68</v>
      </c>
    </row>
    <row r="87" spans="1:6" x14ac:dyDescent="0.25">
      <c r="A87" s="3" t="s">
        <v>0</v>
      </c>
      <c r="B87" s="3">
        <v>100</v>
      </c>
      <c r="C87" s="3">
        <v>1</v>
      </c>
      <c r="D87" s="3">
        <v>3305.6610000000001</v>
      </c>
      <c r="E87" s="3">
        <v>11.311999999999999</v>
      </c>
      <c r="F87" s="3">
        <v>68</v>
      </c>
    </row>
    <row r="88" spans="1:6" x14ac:dyDescent="0.25">
      <c r="A88" s="3" t="s">
        <v>0</v>
      </c>
      <c r="B88" s="3">
        <v>100</v>
      </c>
      <c r="C88" s="3">
        <v>1</v>
      </c>
      <c r="D88" s="3">
        <v>3301.4290000000001</v>
      </c>
      <c r="E88" s="3">
        <v>11.353</v>
      </c>
      <c r="F88" s="3">
        <v>68</v>
      </c>
    </row>
    <row r="89" spans="1:6" x14ac:dyDescent="0.25">
      <c r="A89" s="3" t="s">
        <v>0</v>
      </c>
      <c r="B89" s="3">
        <v>100</v>
      </c>
      <c r="C89" s="3">
        <v>1</v>
      </c>
      <c r="D89" s="3">
        <v>3292.1030000000001</v>
      </c>
      <c r="E89" s="3">
        <v>11.335000000000001</v>
      </c>
      <c r="F89" s="3">
        <v>68</v>
      </c>
    </row>
    <row r="90" spans="1:6" x14ac:dyDescent="0.25">
      <c r="A90" s="3" t="s">
        <v>0</v>
      </c>
      <c r="B90" s="3">
        <v>100</v>
      </c>
      <c r="C90" s="3">
        <v>1</v>
      </c>
      <c r="D90" s="3">
        <v>3298.9630000000002</v>
      </c>
      <c r="E90" s="3">
        <v>11.391</v>
      </c>
      <c r="F90" s="3">
        <v>69</v>
      </c>
    </row>
  </sheetData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0"/>
  <sheetViews>
    <sheetView zoomScale="85" zoomScaleNormal="85" workbookViewId="0">
      <selection sqref="A1:F91"/>
    </sheetView>
  </sheetViews>
  <sheetFormatPr defaultColWidth="9" defaultRowHeight="15" x14ac:dyDescent="0.25"/>
  <cols>
    <col min="1" max="1" width="9.625" style="3" customWidth="1"/>
    <col min="2" max="2" width="4.375" style="3" bestFit="1" customWidth="1"/>
    <col min="3" max="3" width="2.625" style="3" bestFit="1" customWidth="1"/>
    <col min="4" max="4" width="10.75" style="3" customWidth="1"/>
    <col min="5" max="5" width="7" style="3" bestFit="1" customWidth="1"/>
    <col min="6" max="6" width="4.375" style="3" bestFit="1" customWidth="1"/>
    <col min="7" max="7" width="2.375" style="3" customWidth="1"/>
    <col min="8" max="8" width="9.75" style="3" customWidth="1"/>
    <col min="9" max="9" width="4.375" style="3" bestFit="1" customWidth="1"/>
    <col min="10" max="10" width="3.125" style="3" bestFit="1" customWidth="1"/>
    <col min="11" max="11" width="2.375" style="3" customWidth="1"/>
    <col min="12" max="21" width="9" style="3"/>
    <col min="22" max="22" width="2.25" style="3" customWidth="1"/>
    <col min="23" max="23" width="9" style="3"/>
    <col min="24" max="24" width="2.125" style="3" customWidth="1"/>
    <col min="25" max="25" width="9" style="3"/>
    <col min="26" max="26" width="2.625" style="3" customWidth="1"/>
    <col min="27" max="27" width="2.375" style="3" customWidth="1"/>
    <col min="28" max="37" width="9" style="3"/>
    <col min="38" max="38" width="5.625" style="3" customWidth="1"/>
    <col min="39" max="16384" width="9" style="3"/>
  </cols>
  <sheetData>
    <row r="1" spans="1:39" x14ac:dyDescent="0.25">
      <c r="A1" s="3" t="s">
        <v>2</v>
      </c>
      <c r="B1" s="3">
        <v>24</v>
      </c>
      <c r="C1" s="3">
        <v>1</v>
      </c>
      <c r="D1" s="3">
        <v>56010.082999999999</v>
      </c>
      <c r="E1" s="3">
        <v>1.2390000000000001</v>
      </c>
      <c r="F1" s="3">
        <v>91</v>
      </c>
      <c r="H1" s="5" t="s">
        <v>13</v>
      </c>
      <c r="I1" s="5" t="s">
        <v>14</v>
      </c>
      <c r="J1" s="5" t="s">
        <v>10</v>
      </c>
      <c r="K1" s="2"/>
      <c r="L1" s="2">
        <v>1</v>
      </c>
      <c r="M1" s="2">
        <v>2</v>
      </c>
      <c r="N1" s="2">
        <v>3</v>
      </c>
      <c r="O1" s="2">
        <v>4</v>
      </c>
      <c r="P1" s="2">
        <v>5</v>
      </c>
      <c r="Q1" s="2">
        <v>6</v>
      </c>
      <c r="R1" s="2">
        <v>7</v>
      </c>
      <c r="S1" s="2">
        <v>8</v>
      </c>
      <c r="T1" s="2">
        <v>9</v>
      </c>
      <c r="U1" s="2">
        <v>10</v>
      </c>
      <c r="W1" s="2" t="s">
        <v>11</v>
      </c>
      <c r="X1" s="2"/>
      <c r="Y1" s="2" t="s">
        <v>9</v>
      </c>
      <c r="Z1" s="2"/>
      <c r="AM1" s="5" t="s">
        <v>12</v>
      </c>
    </row>
    <row r="2" spans="1:39" x14ac:dyDescent="0.25">
      <c r="A2" s="3" t="s">
        <v>2</v>
      </c>
      <c r="B2" s="3">
        <v>24</v>
      </c>
      <c r="C2" s="3">
        <v>1</v>
      </c>
      <c r="D2" s="3">
        <v>56003.872000000003</v>
      </c>
      <c r="E2" s="3">
        <v>1.236</v>
      </c>
      <c r="F2" s="3">
        <v>125</v>
      </c>
      <c r="H2" s="3" t="s">
        <v>2</v>
      </c>
      <c r="I2" s="3">
        <v>24</v>
      </c>
      <c r="J2" s="3">
        <v>1</v>
      </c>
      <c r="L2" s="3">
        <f ca="1">INDIRECT("D"&amp;1+(ROW(D1)-1)*10+COLUMN(A1)-1)</f>
        <v>56010.082999999999</v>
      </c>
      <c r="M2" s="3">
        <f t="shared" ref="M2:U10" ca="1" si="0">INDIRECT("D"&amp;1+(ROW(E1)-1)*10+COLUMN(B1)-1)</f>
        <v>56003.872000000003</v>
      </c>
      <c r="N2" s="3">
        <f t="shared" ca="1" si="0"/>
        <v>56001.892999999996</v>
      </c>
      <c r="O2" s="3">
        <f t="shared" ca="1" si="0"/>
        <v>55980.214999999997</v>
      </c>
      <c r="P2" s="3">
        <f t="shared" ca="1" si="0"/>
        <v>55982.190999999999</v>
      </c>
      <c r="Q2" s="3">
        <f t="shared" ca="1" si="0"/>
        <v>55991.008999999998</v>
      </c>
      <c r="R2" s="3">
        <f t="shared" ca="1" si="0"/>
        <v>55962.485999999997</v>
      </c>
      <c r="S2" s="3">
        <f t="shared" ca="1" si="0"/>
        <v>55978</v>
      </c>
      <c r="T2" s="3">
        <f t="shared" ca="1" si="0"/>
        <v>55948.713000000003</v>
      </c>
      <c r="U2" s="3">
        <f t="shared" ca="1" si="0"/>
        <v>56006.275000000001</v>
      </c>
      <c r="W2" s="3">
        <f ca="1">AVERAGE(L2:U2)</f>
        <v>55986.473699999995</v>
      </c>
      <c r="Y2" s="3">
        <f ca="1">Total!E2</f>
        <v>55722.476000000002</v>
      </c>
      <c r="AB2" s="3">
        <f t="shared" ref="AB2:AK10" ca="1" si="1">(L2-$Y2)/$Y2</f>
        <v>5.1614181681373297E-3</v>
      </c>
      <c r="AC2" s="3">
        <f t="shared" ca="1" si="1"/>
        <v>5.0499550666054504E-3</v>
      </c>
      <c r="AD2" s="3">
        <f t="shared" ca="1" si="1"/>
        <v>5.0144397747148564E-3</v>
      </c>
      <c r="AE2" s="3">
        <f t="shared" ca="1" si="1"/>
        <v>4.6254046571798805E-3</v>
      </c>
      <c r="AF2" s="3">
        <f t="shared" ca="1" si="1"/>
        <v>4.6608661108310497E-3</v>
      </c>
      <c r="AG2" s="3">
        <f t="shared" ca="1" si="1"/>
        <v>4.8191146423571668E-3</v>
      </c>
      <c r="AH2" s="3">
        <f t="shared" ca="1" si="1"/>
        <v>4.3072386087078173E-3</v>
      </c>
      <c r="AI2" s="3">
        <f t="shared" ca="1" si="1"/>
        <v>4.5856540904606899E-3</v>
      </c>
      <c r="AJ2" s="3">
        <f t="shared" ca="1" si="1"/>
        <v>4.0600672518572396E-3</v>
      </c>
      <c r="AK2" s="3">
        <f t="shared" ca="1" si="1"/>
        <v>5.0930794963238721E-3</v>
      </c>
      <c r="AM2" s="3">
        <f ca="1">SUM(AB2:AK2)</f>
        <v>4.7377237867175348E-2</v>
      </c>
    </row>
    <row r="3" spans="1:39" x14ac:dyDescent="0.25">
      <c r="A3" s="3" t="s">
        <v>2</v>
      </c>
      <c r="B3" s="3">
        <v>24</v>
      </c>
      <c r="C3" s="3">
        <v>1</v>
      </c>
      <c r="D3" s="3">
        <v>56001.892999999996</v>
      </c>
      <c r="E3" s="3">
        <v>1.2430000000000001</v>
      </c>
      <c r="F3" s="3">
        <v>122</v>
      </c>
      <c r="H3" s="3" t="s">
        <v>2</v>
      </c>
      <c r="I3" s="3">
        <v>47</v>
      </c>
      <c r="J3" s="3">
        <v>1</v>
      </c>
      <c r="L3" s="3">
        <f t="shared" ref="L3:L10" ca="1" si="2">INDIRECT("D"&amp;1+(ROW(D2)-1)*10+COLUMN(A2)-1)</f>
        <v>126205.86</v>
      </c>
      <c r="M3" s="3">
        <f t="shared" ca="1" si="0"/>
        <v>126243.848</v>
      </c>
      <c r="N3" s="3">
        <f t="shared" ca="1" si="0"/>
        <v>126244.295</v>
      </c>
      <c r="O3" s="3">
        <f t="shared" ca="1" si="0"/>
        <v>126406.325</v>
      </c>
      <c r="P3" s="3">
        <f t="shared" ca="1" si="0"/>
        <v>126255.882</v>
      </c>
      <c r="Q3" s="3">
        <f t="shared" ca="1" si="0"/>
        <v>126198.62300000001</v>
      </c>
      <c r="R3" s="3">
        <f t="shared" ca="1" si="0"/>
        <v>126257.42</v>
      </c>
      <c r="S3" s="3">
        <f t="shared" ca="1" si="0"/>
        <v>126259.943</v>
      </c>
      <c r="T3" s="3">
        <f t="shared" ca="1" si="0"/>
        <v>126268.00199999999</v>
      </c>
      <c r="U3" s="3">
        <f t="shared" ca="1" si="0"/>
        <v>126279.079</v>
      </c>
      <c r="W3" s="3">
        <f t="shared" ref="W3:W10" ca="1" si="3">AVERAGE(L3:U3)</f>
        <v>126261.9277</v>
      </c>
      <c r="Y3" s="3">
        <f ca="1">Total!E3</f>
        <v>126021.209</v>
      </c>
      <c r="AB3" s="3">
        <f t="shared" ca="1" si="1"/>
        <v>1.4652374903021126E-3</v>
      </c>
      <c r="AC3" s="3">
        <f t="shared" ca="1" si="1"/>
        <v>1.7666788135637993E-3</v>
      </c>
      <c r="AD3" s="3">
        <f t="shared" ca="1" si="1"/>
        <v>1.7702258355575345E-3</v>
      </c>
      <c r="AE3" s="3">
        <f t="shared" ca="1" si="1"/>
        <v>3.0559617944944054E-3</v>
      </c>
      <c r="AF3" s="3">
        <f t="shared" ca="1" si="1"/>
        <v>1.8621706763660331E-3</v>
      </c>
      <c r="AG3" s="3">
        <f t="shared" ca="1" si="1"/>
        <v>1.4078106487615454E-3</v>
      </c>
      <c r="AH3" s="3">
        <f t="shared" ca="1" si="1"/>
        <v>1.8743749712796017E-3</v>
      </c>
      <c r="AI3" s="3">
        <f t="shared" ca="1" si="1"/>
        <v>1.8943954108549834E-3</v>
      </c>
      <c r="AJ3" s="3">
        <f t="shared" ca="1" si="1"/>
        <v>1.9583449639813452E-3</v>
      </c>
      <c r="AK3" s="3">
        <f t="shared" ca="1" si="1"/>
        <v>2.0462428669446851E-3</v>
      </c>
      <c r="AM3" s="3">
        <f t="shared" ref="AM3:AM10" ca="1" si="4">SUM(AB3:AK3)</f>
        <v>1.9101443472106044E-2</v>
      </c>
    </row>
    <row r="4" spans="1:39" x14ac:dyDescent="0.25">
      <c r="A4" s="3" t="s">
        <v>2</v>
      </c>
      <c r="B4" s="3">
        <v>24</v>
      </c>
      <c r="C4" s="3">
        <v>1</v>
      </c>
      <c r="D4" s="3">
        <v>55980.214999999997</v>
      </c>
      <c r="E4" s="3">
        <v>1.242</v>
      </c>
      <c r="F4" s="3">
        <v>114</v>
      </c>
      <c r="H4" s="3" t="s">
        <v>2</v>
      </c>
      <c r="I4" s="3">
        <v>100</v>
      </c>
      <c r="J4" s="3">
        <v>1</v>
      </c>
      <c r="L4" s="3">
        <f t="shared" ca="1" si="2"/>
        <v>1216811.0660000001</v>
      </c>
      <c r="M4" s="3">
        <f t="shared" ca="1" si="0"/>
        <v>1217502.2450000001</v>
      </c>
      <c r="N4" s="3">
        <f t="shared" ca="1" si="0"/>
        <v>1217075.5349999999</v>
      </c>
      <c r="O4" s="3">
        <f t="shared" ca="1" si="0"/>
        <v>1217264.9809999999</v>
      </c>
      <c r="P4" s="3">
        <f t="shared" ca="1" si="0"/>
        <v>1216654.9809999999</v>
      </c>
      <c r="Q4" s="3">
        <f t="shared" ca="1" si="0"/>
        <v>1217093.9380000001</v>
      </c>
      <c r="R4" s="3">
        <f t="shared" ca="1" si="0"/>
        <v>1217321.9979999999</v>
      </c>
      <c r="S4" s="3">
        <f t="shared" ca="1" si="0"/>
        <v>1216872.639</v>
      </c>
      <c r="T4" s="3">
        <f t="shared" ca="1" si="0"/>
        <v>1216764.8089999999</v>
      </c>
      <c r="U4" s="3">
        <f t="shared" ca="1" si="0"/>
        <v>1217074.5449999999</v>
      </c>
      <c r="W4" s="3">
        <f t="shared" ca="1" si="3"/>
        <v>1217043.6736999999</v>
      </c>
      <c r="Y4" s="3">
        <f ca="1">Total!E4</f>
        <v>1216556.6340000001</v>
      </c>
      <c r="AB4" s="3">
        <f t="shared" ca="1" si="1"/>
        <v>2.0914110604408555E-4</v>
      </c>
      <c r="AC4" s="3">
        <f t="shared" ca="1" si="1"/>
        <v>7.7728481648313744E-4</v>
      </c>
      <c r="AD4" s="3">
        <f t="shared" ca="1" si="1"/>
        <v>4.2653254727131586E-4</v>
      </c>
      <c r="AE4" s="3">
        <f t="shared" ca="1" si="1"/>
        <v>5.8225567162525883E-4</v>
      </c>
      <c r="AF4" s="3">
        <f t="shared" ca="1" si="1"/>
        <v>8.0840461718968538E-5</v>
      </c>
      <c r="AG4" s="3">
        <f t="shared" ca="1" si="1"/>
        <v>4.4165966875982173E-4</v>
      </c>
      <c r="AH4" s="3">
        <f t="shared" ca="1" si="1"/>
        <v>6.2912319789283785E-4</v>
      </c>
      <c r="AI4" s="3">
        <f t="shared" ca="1" si="1"/>
        <v>2.597536285350512E-4</v>
      </c>
      <c r="AJ4" s="3">
        <f t="shared" ca="1" si="1"/>
        <v>1.7111821528221078E-4</v>
      </c>
      <c r="AK4" s="3">
        <f t="shared" ca="1" si="1"/>
        <v>4.2571877504541002E-4</v>
      </c>
      <c r="AM4" s="3">
        <f t="shared" ca="1" si="4"/>
        <v>4.0034280886580981E-3</v>
      </c>
    </row>
    <row r="5" spans="1:39" x14ac:dyDescent="0.25">
      <c r="A5" s="3" t="s">
        <v>2</v>
      </c>
      <c r="B5" s="3">
        <v>24</v>
      </c>
      <c r="C5" s="3">
        <v>1</v>
      </c>
      <c r="D5" s="3">
        <v>55982.190999999999</v>
      </c>
      <c r="E5" s="3">
        <v>1.236</v>
      </c>
      <c r="F5" s="3">
        <v>115</v>
      </c>
      <c r="H5" s="3" t="s">
        <v>1</v>
      </c>
      <c r="I5" s="3">
        <v>30</v>
      </c>
      <c r="J5" s="3">
        <v>1</v>
      </c>
      <c r="L5" s="3">
        <f t="shared" ca="1" si="2"/>
        <v>20002.471000000001</v>
      </c>
      <c r="M5" s="3">
        <f t="shared" ca="1" si="0"/>
        <v>20073.664000000001</v>
      </c>
      <c r="N5" s="3">
        <f t="shared" ca="1" si="0"/>
        <v>20066.076000000001</v>
      </c>
      <c r="O5" s="3">
        <f t="shared" ca="1" si="0"/>
        <v>19989.84</v>
      </c>
      <c r="P5" s="3">
        <f t="shared" ca="1" si="0"/>
        <v>20007.721000000001</v>
      </c>
      <c r="Q5" s="3">
        <f t="shared" ca="1" si="0"/>
        <v>20006.366000000002</v>
      </c>
      <c r="R5" s="3">
        <f t="shared" ca="1" si="0"/>
        <v>20074.366000000002</v>
      </c>
      <c r="S5" s="3">
        <f t="shared" ca="1" si="0"/>
        <v>20022.994999999999</v>
      </c>
      <c r="T5" s="3">
        <f t="shared" ca="1" si="0"/>
        <v>20030.793000000001</v>
      </c>
      <c r="U5" s="3">
        <f t="shared" ca="1" si="0"/>
        <v>19996.758000000002</v>
      </c>
      <c r="W5" s="3">
        <f t="shared" ca="1" si="3"/>
        <v>20027.105000000003</v>
      </c>
      <c r="Y5" s="3">
        <f ca="1">Total!E5</f>
        <v>19969.536</v>
      </c>
      <c r="AB5" s="3">
        <f t="shared" ca="1" si="1"/>
        <v>1.6492621561162617E-3</v>
      </c>
      <c r="AC5" s="3">
        <f t="shared" ca="1" si="1"/>
        <v>5.2143424864754297E-3</v>
      </c>
      <c r="AD5" s="3">
        <f t="shared" ca="1" si="1"/>
        <v>4.8343637027921365E-3</v>
      </c>
      <c r="AE5" s="3">
        <f t="shared" ca="1" si="1"/>
        <v>1.0167487116375707E-3</v>
      </c>
      <c r="AF5" s="3">
        <f t="shared" ca="1" si="1"/>
        <v>1.9121626060816491E-3</v>
      </c>
      <c r="AG5" s="3">
        <f t="shared" ca="1" si="1"/>
        <v>1.844309251852509E-3</v>
      </c>
      <c r="AH5" s="3">
        <f t="shared" ca="1" si="1"/>
        <v>5.2494960323565725E-3</v>
      </c>
      <c r="AI5" s="3">
        <f t="shared" ca="1" si="1"/>
        <v>2.6770276485141627E-3</v>
      </c>
      <c r="AJ5" s="3">
        <f t="shared" ca="1" si="1"/>
        <v>3.0675224501962102E-3</v>
      </c>
      <c r="AK5" s="3">
        <f t="shared" ca="1" si="1"/>
        <v>1.3631763902777496E-3</v>
      </c>
      <c r="AM5" s="3">
        <f t="shared" ca="1" si="4"/>
        <v>2.8828411436300251E-2</v>
      </c>
    </row>
    <row r="6" spans="1:39" x14ac:dyDescent="0.25">
      <c r="A6" s="3" t="s">
        <v>2</v>
      </c>
      <c r="B6" s="3">
        <v>24</v>
      </c>
      <c r="C6" s="3">
        <v>1</v>
      </c>
      <c r="D6" s="3">
        <v>55991.008999999998</v>
      </c>
      <c r="E6" s="3">
        <v>1.236</v>
      </c>
      <c r="F6" s="3">
        <v>120</v>
      </c>
      <c r="H6" s="3" t="s">
        <v>1</v>
      </c>
      <c r="I6" s="3">
        <v>50</v>
      </c>
      <c r="J6" s="3">
        <v>1</v>
      </c>
      <c r="L6" s="3">
        <f t="shared" ca="1" si="2"/>
        <v>35500.112999999998</v>
      </c>
      <c r="M6" s="3">
        <f t="shared" ca="1" si="0"/>
        <v>35465.951999999997</v>
      </c>
      <c r="N6" s="3">
        <f t="shared" ca="1" si="0"/>
        <v>35344.453000000001</v>
      </c>
      <c r="O6" s="3">
        <f t="shared" ca="1" si="0"/>
        <v>35461.923999999999</v>
      </c>
      <c r="P6" s="3">
        <f t="shared" ca="1" si="0"/>
        <v>35352.067000000003</v>
      </c>
      <c r="Q6" s="3">
        <f t="shared" ca="1" si="0"/>
        <v>35378.563999999998</v>
      </c>
      <c r="R6" s="3">
        <f t="shared" ca="1" si="0"/>
        <v>35415.196000000004</v>
      </c>
      <c r="S6" s="3">
        <f t="shared" ca="1" si="0"/>
        <v>35381.061000000002</v>
      </c>
      <c r="T6" s="3">
        <f t="shared" ca="1" si="0"/>
        <v>35433.608</v>
      </c>
      <c r="U6" s="3">
        <f t="shared" ca="1" si="0"/>
        <v>35359.807999999997</v>
      </c>
      <c r="W6" s="3">
        <f t="shared" ca="1" si="3"/>
        <v>35409.274600000004</v>
      </c>
      <c r="Y6" s="3">
        <f ca="1">Total!E6</f>
        <v>35277.981</v>
      </c>
      <c r="AB6" s="3">
        <f t="shared" ca="1" si="1"/>
        <v>6.2966188456192486E-3</v>
      </c>
      <c r="AC6" s="3">
        <f t="shared" ca="1" si="1"/>
        <v>5.3282811167679276E-3</v>
      </c>
      <c r="AD6" s="3">
        <f t="shared" ca="1" si="1"/>
        <v>1.8842348149119296E-3</v>
      </c>
      <c r="AE6" s="3">
        <f t="shared" ca="1" si="1"/>
        <v>5.2141022469511305E-3</v>
      </c>
      <c r="AF6" s="3">
        <f t="shared" ca="1" si="1"/>
        <v>2.1000634928626718E-3</v>
      </c>
      <c r="AG6" s="3">
        <f t="shared" ca="1" si="1"/>
        <v>2.8511552290931478E-3</v>
      </c>
      <c r="AH6" s="3">
        <f t="shared" ca="1" si="1"/>
        <v>3.8895366489370177E-3</v>
      </c>
      <c r="AI6" s="3">
        <f t="shared" ca="1" si="1"/>
        <v>2.9219359237140511E-3</v>
      </c>
      <c r="AJ6" s="3">
        <f t="shared" ca="1" si="1"/>
        <v>4.4114486030252245E-3</v>
      </c>
      <c r="AK6" s="3">
        <f t="shared" ca="1" si="1"/>
        <v>2.3194921500750707E-3</v>
      </c>
      <c r="AM6" s="3">
        <f t="shared" ca="1" si="4"/>
        <v>3.7216869071957419E-2</v>
      </c>
    </row>
    <row r="7" spans="1:39" x14ac:dyDescent="0.25">
      <c r="A7" s="3" t="s">
        <v>2</v>
      </c>
      <c r="B7" s="3">
        <v>24</v>
      </c>
      <c r="C7" s="3">
        <v>1</v>
      </c>
      <c r="D7" s="3">
        <v>55962.485999999997</v>
      </c>
      <c r="E7" s="3">
        <v>1.242</v>
      </c>
      <c r="F7" s="3">
        <v>113</v>
      </c>
      <c r="H7" s="3" t="s">
        <v>1</v>
      </c>
      <c r="I7" s="3">
        <v>100</v>
      </c>
      <c r="J7" s="3">
        <v>1</v>
      </c>
      <c r="L7" s="3">
        <f t="shared" ca="1" si="2"/>
        <v>63197.292999999998</v>
      </c>
      <c r="M7" s="3">
        <f t="shared" ca="1" si="0"/>
        <v>63206.836000000003</v>
      </c>
      <c r="N7" s="3">
        <f t="shared" ca="1" si="0"/>
        <v>63160.262999999999</v>
      </c>
      <c r="O7" s="3">
        <f t="shared" ca="1" si="0"/>
        <v>63223.114000000001</v>
      </c>
      <c r="P7" s="3">
        <f t="shared" ca="1" si="0"/>
        <v>63191.855000000003</v>
      </c>
      <c r="Q7" s="3">
        <f t="shared" ca="1" si="0"/>
        <v>63169.45</v>
      </c>
      <c r="R7" s="3">
        <f t="shared" ca="1" si="0"/>
        <v>63120.552000000003</v>
      </c>
      <c r="S7" s="3">
        <f t="shared" ca="1" si="0"/>
        <v>63144.84</v>
      </c>
      <c r="T7" s="3">
        <f t="shared" ca="1" si="0"/>
        <v>63107.338000000003</v>
      </c>
      <c r="U7" s="3">
        <f t="shared" ca="1" si="0"/>
        <v>63130.944000000003</v>
      </c>
      <c r="W7" s="3">
        <f t="shared" ca="1" si="3"/>
        <v>63165.248500000002</v>
      </c>
      <c r="Y7" s="3">
        <f ca="1">Total!E7</f>
        <v>63035.512000000002</v>
      </c>
      <c r="AB7" s="3">
        <f t="shared" ca="1" si="1"/>
        <v>2.566505686508827E-3</v>
      </c>
      <c r="AC7" s="3">
        <f t="shared" ca="1" si="1"/>
        <v>2.7178965406039774E-3</v>
      </c>
      <c r="AD7" s="3">
        <f t="shared" ca="1" si="1"/>
        <v>1.9790590421474891E-3</v>
      </c>
      <c r="AE7" s="3">
        <f t="shared" ca="1" si="1"/>
        <v>2.9761319302046589E-3</v>
      </c>
      <c r="AF7" s="3">
        <f t="shared" ca="1" si="1"/>
        <v>2.4802368544258155E-3</v>
      </c>
      <c r="AG7" s="3">
        <f t="shared" ca="1" si="1"/>
        <v>2.1248022860509905E-3</v>
      </c>
      <c r="AH7" s="3">
        <f t="shared" ca="1" si="1"/>
        <v>1.3490808165403793E-3</v>
      </c>
      <c r="AI7" s="3">
        <f t="shared" ca="1" si="1"/>
        <v>1.7343874354505769E-3</v>
      </c>
      <c r="AJ7" s="3">
        <f t="shared" ca="1" si="1"/>
        <v>1.1394529483634707E-3</v>
      </c>
      <c r="AK7" s="3">
        <f t="shared" ca="1" si="1"/>
        <v>1.5139402690978491E-3</v>
      </c>
      <c r="AM7" s="3">
        <f t="shared" ca="1" si="4"/>
        <v>2.0581493809394034E-2</v>
      </c>
    </row>
    <row r="8" spans="1:39" x14ac:dyDescent="0.25">
      <c r="A8" s="3" t="s">
        <v>2</v>
      </c>
      <c r="B8" s="3">
        <v>24</v>
      </c>
      <c r="C8" s="3">
        <v>1</v>
      </c>
      <c r="D8" s="3">
        <v>55978</v>
      </c>
      <c r="E8" s="3">
        <v>1.2410000000000001</v>
      </c>
      <c r="F8" s="3">
        <v>125</v>
      </c>
      <c r="H8" s="3" t="s">
        <v>0</v>
      </c>
      <c r="I8" s="3">
        <v>25</v>
      </c>
      <c r="J8" s="3">
        <v>1</v>
      </c>
      <c r="L8" s="3">
        <f t="shared" ca="1" si="2"/>
        <v>723.55899999999997</v>
      </c>
      <c r="M8" s="3">
        <f t="shared" ca="1" si="0"/>
        <v>723.38099999999997</v>
      </c>
      <c r="N8" s="3">
        <f t="shared" ca="1" si="0"/>
        <v>723.54399999999998</v>
      </c>
      <c r="O8" s="3">
        <f t="shared" ca="1" si="0"/>
        <v>723.55899999999997</v>
      </c>
      <c r="P8" s="3">
        <f t="shared" ca="1" si="0"/>
        <v>723.53300000000002</v>
      </c>
      <c r="Q8" s="3">
        <f t="shared" ca="1" si="0"/>
        <v>723.36400000000003</v>
      </c>
      <c r="R8" s="3">
        <f t="shared" ca="1" si="0"/>
        <v>723.61300000000006</v>
      </c>
      <c r="S8" s="3">
        <f t="shared" ca="1" si="0"/>
        <v>722.93499999999995</v>
      </c>
      <c r="T8" s="3">
        <f t="shared" ca="1" si="0"/>
        <v>723.52800000000002</v>
      </c>
      <c r="U8" s="3">
        <f t="shared" ca="1" si="0"/>
        <v>723.54399999999998</v>
      </c>
      <c r="W8" s="3">
        <f t="shared" ca="1" si="3"/>
        <v>723.4559999999999</v>
      </c>
      <c r="Y8" s="3">
        <f ca="1">Total!E8</f>
        <v>722.92</v>
      </c>
      <c r="AB8" s="3">
        <f t="shared" ca="1" si="1"/>
        <v>8.83915232667529E-4</v>
      </c>
      <c r="AC8" s="3">
        <f t="shared" ca="1" si="1"/>
        <v>6.3769158413104184E-4</v>
      </c>
      <c r="AD8" s="3">
        <f t="shared" ca="1" si="1"/>
        <v>8.6316604880211324E-4</v>
      </c>
      <c r="AE8" s="3">
        <f t="shared" ca="1" si="1"/>
        <v>8.83915232667529E-4</v>
      </c>
      <c r="AF8" s="3">
        <f t="shared" ca="1" si="1"/>
        <v>8.4794998063417312E-4</v>
      </c>
      <c r="AG8" s="3">
        <f t="shared" ca="1" si="1"/>
        <v>6.1417584241696692E-4</v>
      </c>
      <c r="AH8" s="3">
        <f t="shared" ca="1" si="1"/>
        <v>9.5861229458321445E-4</v>
      </c>
      <c r="AI8" s="3">
        <f t="shared" ca="1" si="1"/>
        <v>2.0749183865415756E-5</v>
      </c>
      <c r="AJ8" s="3">
        <f t="shared" ca="1" si="1"/>
        <v>8.410335860123679E-4</v>
      </c>
      <c r="AK8" s="3">
        <f t="shared" ca="1" si="1"/>
        <v>8.6316604880211324E-4</v>
      </c>
      <c r="AM8" s="3">
        <f t="shared" ca="1" si="4"/>
        <v>7.4143750345824645E-3</v>
      </c>
    </row>
    <row r="9" spans="1:39" x14ac:dyDescent="0.25">
      <c r="A9" s="3" t="s">
        <v>2</v>
      </c>
      <c r="B9" s="3">
        <v>24</v>
      </c>
      <c r="C9" s="3">
        <v>1</v>
      </c>
      <c r="D9" s="3">
        <v>55948.713000000003</v>
      </c>
      <c r="E9" s="3">
        <v>1.242</v>
      </c>
      <c r="F9" s="3">
        <v>116</v>
      </c>
      <c r="H9" s="3" t="s">
        <v>0</v>
      </c>
      <c r="I9" s="3">
        <v>50</v>
      </c>
      <c r="J9" s="3">
        <v>1</v>
      </c>
      <c r="L9" s="3">
        <f t="shared" ca="1" si="2"/>
        <v>1572.2729999999999</v>
      </c>
      <c r="M9" s="3">
        <f t="shared" ca="1" si="0"/>
        <v>1571.796</v>
      </c>
      <c r="N9" s="3">
        <f t="shared" ca="1" si="0"/>
        <v>1570.7660000000001</v>
      </c>
      <c r="O9" s="3">
        <f t="shared" ca="1" si="0"/>
        <v>1572.9179999999999</v>
      </c>
      <c r="P9" s="3">
        <f t="shared" ca="1" si="0"/>
        <v>1571.2660000000001</v>
      </c>
      <c r="Q9" s="3">
        <f t="shared" ca="1" si="0"/>
        <v>1570.971</v>
      </c>
      <c r="R9" s="3">
        <f t="shared" ca="1" si="0"/>
        <v>1571.5119999999999</v>
      </c>
      <c r="S9" s="3">
        <f t="shared" ca="1" si="0"/>
        <v>1571.778</v>
      </c>
      <c r="T9" s="3">
        <f t="shared" ca="1" si="0"/>
        <v>1571.1679999999999</v>
      </c>
      <c r="U9" s="3">
        <f t="shared" ca="1" si="0"/>
        <v>1572.1790000000001</v>
      </c>
      <c r="W9" s="3">
        <f t="shared" ca="1" si="3"/>
        <v>1571.6627000000001</v>
      </c>
      <c r="Y9" s="3">
        <f ca="1">Total!E9</f>
        <v>1570.17</v>
      </c>
      <c r="AB9" s="3">
        <f t="shared" ca="1" si="1"/>
        <v>1.3393454211963278E-3</v>
      </c>
      <c r="AC9" s="3">
        <f t="shared" ca="1" si="1"/>
        <v>1.0355566594699786E-3</v>
      </c>
      <c r="AD9" s="3">
        <f t="shared" ca="1" si="1"/>
        <v>3.7957673372947107E-4</v>
      </c>
      <c r="AE9" s="3">
        <f t="shared" ca="1" si="1"/>
        <v>1.7501289669270333E-3</v>
      </c>
      <c r="AF9" s="3">
        <f t="shared" ca="1" si="1"/>
        <v>6.9801359088506564E-4</v>
      </c>
      <c r="AG9" s="3">
        <f t="shared" ca="1" si="1"/>
        <v>5.1013584516321848E-4</v>
      </c>
      <c r="AH9" s="3">
        <f t="shared" ca="1" si="1"/>
        <v>8.5468452460553369E-4</v>
      </c>
      <c r="AI9" s="3">
        <f t="shared" ca="1" si="1"/>
        <v>1.0240929326123588E-3</v>
      </c>
      <c r="AJ9" s="3">
        <f t="shared" ca="1" si="1"/>
        <v>6.3559996688245218E-4</v>
      </c>
      <c r="AK9" s="3">
        <f t="shared" ca="1" si="1"/>
        <v>1.2794792920511884E-3</v>
      </c>
      <c r="AM9" s="3">
        <f t="shared" ca="1" si="4"/>
        <v>9.5066139335226278E-3</v>
      </c>
    </row>
    <row r="10" spans="1:39" x14ac:dyDescent="0.25">
      <c r="A10" s="3" t="s">
        <v>2</v>
      </c>
      <c r="B10" s="3">
        <v>24</v>
      </c>
      <c r="C10" s="3">
        <v>1</v>
      </c>
      <c r="D10" s="3">
        <v>56006.275000000001</v>
      </c>
      <c r="E10" s="3">
        <v>1.2390000000000001</v>
      </c>
      <c r="F10" s="3">
        <v>115</v>
      </c>
      <c r="H10" s="3" t="s">
        <v>28</v>
      </c>
      <c r="I10" s="3">
        <v>100</v>
      </c>
      <c r="J10" s="3">
        <v>1</v>
      </c>
      <c r="L10" s="3">
        <f t="shared" ca="1" si="2"/>
        <v>3293.7809999999999</v>
      </c>
      <c r="M10" s="3">
        <f t="shared" ca="1" si="0"/>
        <v>3300.6640000000002</v>
      </c>
      <c r="N10" s="3">
        <f t="shared" ca="1" si="0"/>
        <v>3293.8960000000002</v>
      </c>
      <c r="O10" s="3">
        <f t="shared" ca="1" si="0"/>
        <v>3292.768</v>
      </c>
      <c r="P10" s="3">
        <f t="shared" ca="1" si="0"/>
        <v>3294.038</v>
      </c>
      <c r="Q10" s="3">
        <f t="shared" ca="1" si="0"/>
        <v>3299.127</v>
      </c>
      <c r="R10" s="3">
        <f t="shared" ca="1" si="0"/>
        <v>3297.8980000000001</v>
      </c>
      <c r="S10" s="3">
        <f t="shared" ca="1" si="0"/>
        <v>3297.31</v>
      </c>
      <c r="T10" s="3">
        <f t="shared" ca="1" si="0"/>
        <v>3295.7750000000001</v>
      </c>
      <c r="U10" s="3">
        <f t="shared" ca="1" si="0"/>
        <v>3301.4229999999998</v>
      </c>
      <c r="W10" s="3">
        <f t="shared" ca="1" si="3"/>
        <v>3296.6680000000006</v>
      </c>
      <c r="Y10" s="3">
        <f ca="1">Total!E10</f>
        <v>3290.5340000000001</v>
      </c>
      <c r="AB10" s="3">
        <f t="shared" ca="1" si="1"/>
        <v>9.867699285282703E-4</v>
      </c>
      <c r="AC10" s="3">
        <f t="shared" ca="1" si="1"/>
        <v>3.0785276797018687E-3</v>
      </c>
      <c r="AD10" s="3">
        <f t="shared" ca="1" si="1"/>
        <v>1.0217186632929731E-3</v>
      </c>
      <c r="AE10" s="3">
        <f t="shared" ca="1" si="1"/>
        <v>6.789171605581111E-4</v>
      </c>
      <c r="AF10" s="3">
        <f t="shared" ca="1" si="1"/>
        <v>1.0648727531762034E-3</v>
      </c>
      <c r="AG10" s="3">
        <f t="shared" ca="1" si="1"/>
        <v>2.6114302420214611E-3</v>
      </c>
      <c r="AH10" s="3">
        <f t="shared" ca="1" si="1"/>
        <v>2.2379346331021142E-3</v>
      </c>
      <c r="AI10" s="3">
        <f t="shared" ca="1" si="1"/>
        <v>2.0592402327402905E-3</v>
      </c>
      <c r="AJ10" s="3">
        <f t="shared" ca="1" si="1"/>
        <v>1.5927505991428703E-3</v>
      </c>
      <c r="AK10" s="3">
        <f t="shared" ca="1" si="1"/>
        <v>3.309189329148299E-3</v>
      </c>
      <c r="AM10" s="3">
        <f t="shared" ca="1" si="4"/>
        <v>1.8641351221412462E-2</v>
      </c>
    </row>
    <row r="11" spans="1:39" x14ac:dyDescent="0.25">
      <c r="A11" s="3" t="s">
        <v>2</v>
      </c>
      <c r="B11" s="3">
        <v>47</v>
      </c>
      <c r="C11" s="3">
        <v>1</v>
      </c>
      <c r="D11" s="3">
        <v>126205.86</v>
      </c>
      <c r="E11" s="3">
        <v>4.1509999999999998</v>
      </c>
      <c r="F11" s="3">
        <v>119</v>
      </c>
    </row>
    <row r="12" spans="1:39" x14ac:dyDescent="0.25">
      <c r="A12" s="3" t="s">
        <v>2</v>
      </c>
      <c r="B12" s="3">
        <v>47</v>
      </c>
      <c r="C12" s="3">
        <v>1</v>
      </c>
      <c r="D12" s="3">
        <v>126243.848</v>
      </c>
      <c r="E12" s="3">
        <v>4.1449999999999996</v>
      </c>
      <c r="F12" s="3">
        <v>120</v>
      </c>
    </row>
    <row r="13" spans="1:39" x14ac:dyDescent="0.25">
      <c r="A13" s="3" t="s">
        <v>2</v>
      </c>
      <c r="B13" s="3">
        <v>47</v>
      </c>
      <c r="C13" s="3">
        <v>1</v>
      </c>
      <c r="D13" s="3">
        <v>126244.295</v>
      </c>
      <c r="E13" s="3">
        <v>4.1440000000000001</v>
      </c>
      <c r="F13" s="3">
        <v>120</v>
      </c>
    </row>
    <row r="14" spans="1:39" x14ac:dyDescent="0.25">
      <c r="A14" s="3" t="s">
        <v>2</v>
      </c>
      <c r="B14" s="3">
        <v>47</v>
      </c>
      <c r="C14" s="3">
        <v>1</v>
      </c>
      <c r="D14" s="3">
        <v>126406.325</v>
      </c>
      <c r="E14" s="3">
        <v>4.1550000000000002</v>
      </c>
      <c r="F14" s="3">
        <v>117</v>
      </c>
    </row>
    <row r="15" spans="1:39" x14ac:dyDescent="0.25">
      <c r="A15" s="3" t="s">
        <v>2</v>
      </c>
      <c r="B15" s="3">
        <v>47</v>
      </c>
      <c r="C15" s="3">
        <v>1</v>
      </c>
      <c r="D15" s="3">
        <v>126255.882</v>
      </c>
      <c r="E15" s="3">
        <v>4.1390000000000002</v>
      </c>
      <c r="F15" s="3">
        <v>119</v>
      </c>
    </row>
    <row r="16" spans="1:39" x14ac:dyDescent="0.25">
      <c r="A16" s="3" t="s">
        <v>2</v>
      </c>
      <c r="B16" s="3">
        <v>47</v>
      </c>
      <c r="C16" s="3">
        <v>1</v>
      </c>
      <c r="D16" s="3">
        <v>126198.62300000001</v>
      </c>
      <c r="E16" s="3">
        <v>4.1529999999999996</v>
      </c>
      <c r="F16" s="3">
        <v>118</v>
      </c>
    </row>
    <row r="17" spans="1:6" x14ac:dyDescent="0.25">
      <c r="A17" s="3" t="s">
        <v>2</v>
      </c>
      <c r="B17" s="3">
        <v>47</v>
      </c>
      <c r="C17" s="3">
        <v>1</v>
      </c>
      <c r="D17" s="3">
        <v>126257.42</v>
      </c>
      <c r="E17" s="3">
        <v>4.1459999999999999</v>
      </c>
      <c r="F17" s="3">
        <v>118</v>
      </c>
    </row>
    <row r="18" spans="1:6" x14ac:dyDescent="0.25">
      <c r="A18" s="3" t="s">
        <v>2</v>
      </c>
      <c r="B18" s="3">
        <v>47</v>
      </c>
      <c r="C18" s="3">
        <v>1</v>
      </c>
      <c r="D18" s="3">
        <v>126259.943</v>
      </c>
      <c r="E18" s="3">
        <v>4.1520000000000001</v>
      </c>
      <c r="F18" s="3">
        <v>115</v>
      </c>
    </row>
    <row r="19" spans="1:6" x14ac:dyDescent="0.25">
      <c r="A19" s="3" t="s">
        <v>2</v>
      </c>
      <c r="B19" s="3">
        <v>47</v>
      </c>
      <c r="C19" s="3">
        <v>1</v>
      </c>
      <c r="D19" s="3">
        <v>126268.00199999999</v>
      </c>
      <c r="E19" s="3">
        <v>4.1500000000000004</v>
      </c>
      <c r="F19" s="3">
        <v>115</v>
      </c>
    </row>
    <row r="20" spans="1:6" x14ac:dyDescent="0.25">
      <c r="A20" s="3" t="s">
        <v>2</v>
      </c>
      <c r="B20" s="3">
        <v>47</v>
      </c>
      <c r="C20" s="3">
        <v>1</v>
      </c>
      <c r="D20" s="3">
        <v>126279.079</v>
      </c>
      <c r="E20" s="3">
        <v>4.1619999999999999</v>
      </c>
      <c r="F20" s="3">
        <v>114</v>
      </c>
    </row>
    <row r="21" spans="1:6" x14ac:dyDescent="0.25">
      <c r="A21" s="3" t="s">
        <v>2</v>
      </c>
      <c r="B21" s="3">
        <v>100</v>
      </c>
      <c r="C21" s="3">
        <v>1</v>
      </c>
      <c r="D21" s="3">
        <v>1216811.0660000001</v>
      </c>
      <c r="E21" s="3">
        <v>22.094000000000001</v>
      </c>
      <c r="F21" s="3">
        <v>131</v>
      </c>
    </row>
    <row r="22" spans="1:6" x14ac:dyDescent="0.25">
      <c r="A22" s="3" t="s">
        <v>2</v>
      </c>
      <c r="B22" s="3">
        <v>100</v>
      </c>
      <c r="C22" s="3">
        <v>1</v>
      </c>
      <c r="D22" s="3">
        <v>1217502.2450000001</v>
      </c>
      <c r="E22" s="3">
        <v>22.146999999999998</v>
      </c>
      <c r="F22" s="3">
        <v>131</v>
      </c>
    </row>
    <row r="23" spans="1:6" x14ac:dyDescent="0.25">
      <c r="A23" s="3" t="s">
        <v>2</v>
      </c>
      <c r="B23" s="3">
        <v>100</v>
      </c>
      <c r="C23" s="3">
        <v>1</v>
      </c>
      <c r="D23" s="3">
        <v>1217075.5349999999</v>
      </c>
      <c r="E23" s="3">
        <v>22.135999999999999</v>
      </c>
      <c r="F23" s="3">
        <v>130</v>
      </c>
    </row>
    <row r="24" spans="1:6" x14ac:dyDescent="0.25">
      <c r="A24" s="3" t="s">
        <v>2</v>
      </c>
      <c r="B24" s="3">
        <v>100</v>
      </c>
      <c r="C24" s="3">
        <v>1</v>
      </c>
      <c r="D24" s="3">
        <v>1217264.9809999999</v>
      </c>
      <c r="E24" s="3">
        <v>22.082000000000001</v>
      </c>
      <c r="F24" s="3">
        <v>127</v>
      </c>
    </row>
    <row r="25" spans="1:6" x14ac:dyDescent="0.25">
      <c r="A25" s="3" t="s">
        <v>2</v>
      </c>
      <c r="B25" s="3">
        <v>100</v>
      </c>
      <c r="C25" s="3">
        <v>1</v>
      </c>
      <c r="D25" s="3">
        <v>1216654.9809999999</v>
      </c>
      <c r="E25" s="3">
        <v>22.167000000000002</v>
      </c>
      <c r="F25" s="3">
        <v>130</v>
      </c>
    </row>
    <row r="26" spans="1:6" x14ac:dyDescent="0.25">
      <c r="A26" s="3" t="s">
        <v>2</v>
      </c>
      <c r="B26" s="3">
        <v>100</v>
      </c>
      <c r="C26" s="3">
        <v>1</v>
      </c>
      <c r="D26" s="3">
        <v>1217093.9380000001</v>
      </c>
      <c r="E26" s="3">
        <v>22.105</v>
      </c>
      <c r="F26" s="3">
        <v>130</v>
      </c>
    </row>
    <row r="27" spans="1:6" x14ac:dyDescent="0.25">
      <c r="A27" s="3" t="s">
        <v>2</v>
      </c>
      <c r="B27" s="3">
        <v>100</v>
      </c>
      <c r="C27" s="3">
        <v>1</v>
      </c>
      <c r="D27" s="3">
        <v>1217321.9979999999</v>
      </c>
      <c r="E27" s="3">
        <v>22.146000000000001</v>
      </c>
      <c r="F27" s="3">
        <v>124</v>
      </c>
    </row>
    <row r="28" spans="1:6" x14ac:dyDescent="0.25">
      <c r="A28" s="3" t="s">
        <v>2</v>
      </c>
      <c r="B28" s="3">
        <v>100</v>
      </c>
      <c r="C28" s="3">
        <v>1</v>
      </c>
      <c r="D28" s="3">
        <v>1216872.639</v>
      </c>
      <c r="E28" s="3">
        <v>22.16</v>
      </c>
      <c r="F28" s="3">
        <v>129</v>
      </c>
    </row>
    <row r="29" spans="1:6" x14ac:dyDescent="0.25">
      <c r="A29" s="3" t="s">
        <v>2</v>
      </c>
      <c r="B29" s="3">
        <v>100</v>
      </c>
      <c r="C29" s="3">
        <v>1</v>
      </c>
      <c r="D29" s="3">
        <v>1216764.8089999999</v>
      </c>
      <c r="E29" s="3">
        <v>22.068999999999999</v>
      </c>
      <c r="F29" s="3">
        <v>128</v>
      </c>
    </row>
    <row r="30" spans="1:6" x14ac:dyDescent="0.25">
      <c r="A30" s="3" t="s">
        <v>2</v>
      </c>
      <c r="B30" s="3">
        <v>100</v>
      </c>
      <c r="C30" s="3">
        <v>1</v>
      </c>
      <c r="D30" s="3">
        <v>1217074.5449999999</v>
      </c>
      <c r="E30" s="3">
        <v>22.09</v>
      </c>
      <c r="F30" s="3">
        <v>132</v>
      </c>
    </row>
    <row r="31" spans="1:6" x14ac:dyDescent="0.25">
      <c r="A31" s="3" t="s">
        <v>1</v>
      </c>
      <c r="B31" s="3">
        <v>30</v>
      </c>
      <c r="C31" s="3">
        <v>1</v>
      </c>
      <c r="D31" s="3">
        <v>20002.471000000001</v>
      </c>
      <c r="E31" s="3">
        <v>1.349</v>
      </c>
      <c r="F31" s="3">
        <v>81</v>
      </c>
    </row>
    <row r="32" spans="1:6" x14ac:dyDescent="0.25">
      <c r="A32" s="3" t="s">
        <v>1</v>
      </c>
      <c r="B32" s="3">
        <v>30</v>
      </c>
      <c r="C32" s="3">
        <v>1</v>
      </c>
      <c r="D32" s="3">
        <v>20073.664000000001</v>
      </c>
      <c r="E32" s="3">
        <v>1.3540000000000001</v>
      </c>
      <c r="F32" s="3">
        <v>81</v>
      </c>
    </row>
    <row r="33" spans="1:6" x14ac:dyDescent="0.25">
      <c r="A33" s="3" t="s">
        <v>1</v>
      </c>
      <c r="B33" s="3">
        <v>30</v>
      </c>
      <c r="C33" s="3">
        <v>1</v>
      </c>
      <c r="D33" s="3">
        <v>20066.076000000001</v>
      </c>
      <c r="E33" s="3">
        <v>1.347</v>
      </c>
      <c r="F33" s="3">
        <v>84</v>
      </c>
    </row>
    <row r="34" spans="1:6" x14ac:dyDescent="0.25">
      <c r="A34" s="3" t="s">
        <v>1</v>
      </c>
      <c r="B34" s="3">
        <v>30</v>
      </c>
      <c r="C34" s="3">
        <v>1</v>
      </c>
      <c r="D34" s="3">
        <v>19989.84</v>
      </c>
      <c r="E34" s="3">
        <v>1.351</v>
      </c>
      <c r="F34" s="3">
        <v>85</v>
      </c>
    </row>
    <row r="35" spans="1:6" x14ac:dyDescent="0.25">
      <c r="A35" s="3" t="s">
        <v>1</v>
      </c>
      <c r="B35" s="3">
        <v>30</v>
      </c>
      <c r="C35" s="3">
        <v>1</v>
      </c>
      <c r="D35" s="3">
        <v>20007.721000000001</v>
      </c>
      <c r="E35" s="3">
        <v>1.35</v>
      </c>
      <c r="F35" s="3">
        <v>79</v>
      </c>
    </row>
    <row r="36" spans="1:6" x14ac:dyDescent="0.25">
      <c r="A36" s="3" t="s">
        <v>1</v>
      </c>
      <c r="B36" s="3">
        <v>30</v>
      </c>
      <c r="C36" s="3">
        <v>1</v>
      </c>
      <c r="D36" s="3">
        <v>20006.366000000002</v>
      </c>
      <c r="E36" s="3">
        <v>1.355</v>
      </c>
      <c r="F36" s="3">
        <v>78</v>
      </c>
    </row>
    <row r="37" spans="1:6" x14ac:dyDescent="0.25">
      <c r="A37" s="3" t="s">
        <v>1</v>
      </c>
      <c r="B37" s="3">
        <v>30</v>
      </c>
      <c r="C37" s="3">
        <v>1</v>
      </c>
      <c r="D37" s="3">
        <v>20074.366000000002</v>
      </c>
      <c r="E37" s="3">
        <v>1.3560000000000001</v>
      </c>
      <c r="F37" s="3">
        <v>87</v>
      </c>
    </row>
    <row r="38" spans="1:6" x14ac:dyDescent="0.25">
      <c r="A38" s="3" t="s">
        <v>1</v>
      </c>
      <c r="B38" s="3">
        <v>30</v>
      </c>
      <c r="C38" s="3">
        <v>1</v>
      </c>
      <c r="D38" s="3">
        <v>20022.994999999999</v>
      </c>
      <c r="E38" s="3">
        <v>1.3540000000000001</v>
      </c>
      <c r="F38" s="3">
        <v>85</v>
      </c>
    </row>
    <row r="39" spans="1:6" x14ac:dyDescent="0.25">
      <c r="A39" s="3" t="s">
        <v>1</v>
      </c>
      <c r="B39" s="3">
        <v>30</v>
      </c>
      <c r="C39" s="3">
        <v>1</v>
      </c>
      <c r="D39" s="3">
        <v>20030.793000000001</v>
      </c>
      <c r="E39" s="3">
        <v>1.355</v>
      </c>
      <c r="F39" s="3">
        <v>74</v>
      </c>
    </row>
    <row r="40" spans="1:6" x14ac:dyDescent="0.25">
      <c r="A40" s="3" t="s">
        <v>1</v>
      </c>
      <c r="B40" s="3">
        <v>30</v>
      </c>
      <c r="C40" s="3">
        <v>1</v>
      </c>
      <c r="D40" s="3">
        <v>19996.758000000002</v>
      </c>
      <c r="E40" s="3">
        <v>1.357</v>
      </c>
      <c r="F40" s="3">
        <v>88</v>
      </c>
    </row>
    <row r="41" spans="1:6" x14ac:dyDescent="0.25">
      <c r="A41" s="3" t="s">
        <v>1</v>
      </c>
      <c r="B41" s="3">
        <v>50</v>
      </c>
      <c r="C41" s="3">
        <v>1</v>
      </c>
      <c r="D41" s="3">
        <v>35500.112999999998</v>
      </c>
      <c r="E41" s="3">
        <v>3.0569999999999999</v>
      </c>
      <c r="F41" s="3">
        <v>73</v>
      </c>
    </row>
    <row r="42" spans="1:6" x14ac:dyDescent="0.25">
      <c r="A42" s="3" t="s">
        <v>1</v>
      </c>
      <c r="B42" s="3">
        <v>50</v>
      </c>
      <c r="C42" s="3">
        <v>1</v>
      </c>
      <c r="D42" s="3">
        <v>35465.951999999997</v>
      </c>
      <c r="E42" s="3">
        <v>3.0329999999999999</v>
      </c>
      <c r="F42" s="3">
        <v>72</v>
      </c>
    </row>
    <row r="43" spans="1:6" x14ac:dyDescent="0.25">
      <c r="A43" s="3" t="s">
        <v>1</v>
      </c>
      <c r="B43" s="3">
        <v>50</v>
      </c>
      <c r="C43" s="3">
        <v>1</v>
      </c>
      <c r="D43" s="3">
        <v>35344.453000000001</v>
      </c>
      <c r="E43" s="3">
        <v>3.0409999999999999</v>
      </c>
      <c r="F43" s="3">
        <v>76</v>
      </c>
    </row>
    <row r="44" spans="1:6" x14ac:dyDescent="0.25">
      <c r="A44" s="3" t="s">
        <v>1</v>
      </c>
      <c r="B44" s="3">
        <v>50</v>
      </c>
      <c r="C44" s="3">
        <v>1</v>
      </c>
      <c r="D44" s="3">
        <v>35461.923999999999</v>
      </c>
      <c r="E44" s="3">
        <v>3.0470000000000002</v>
      </c>
      <c r="F44" s="3">
        <v>73</v>
      </c>
    </row>
    <row r="45" spans="1:6" x14ac:dyDescent="0.25">
      <c r="A45" s="3" t="s">
        <v>1</v>
      </c>
      <c r="B45" s="3">
        <v>50</v>
      </c>
      <c r="C45" s="3">
        <v>1</v>
      </c>
      <c r="D45" s="3">
        <v>35352.067000000003</v>
      </c>
      <c r="E45" s="3">
        <v>3.036</v>
      </c>
      <c r="F45" s="3">
        <v>77</v>
      </c>
    </row>
    <row r="46" spans="1:6" x14ac:dyDescent="0.25">
      <c r="A46" s="3" t="s">
        <v>1</v>
      </c>
      <c r="B46" s="3">
        <v>50</v>
      </c>
      <c r="C46" s="3">
        <v>1</v>
      </c>
      <c r="D46" s="3">
        <v>35378.563999999998</v>
      </c>
      <c r="E46" s="3">
        <v>3.0550000000000002</v>
      </c>
      <c r="F46" s="3">
        <v>74</v>
      </c>
    </row>
    <row r="47" spans="1:6" x14ac:dyDescent="0.25">
      <c r="A47" s="3" t="s">
        <v>1</v>
      </c>
      <c r="B47" s="3">
        <v>50</v>
      </c>
      <c r="C47" s="3">
        <v>1</v>
      </c>
      <c r="D47" s="3">
        <v>35415.196000000004</v>
      </c>
      <c r="E47" s="3">
        <v>3.0459999999999998</v>
      </c>
      <c r="F47" s="3">
        <v>71</v>
      </c>
    </row>
    <row r="48" spans="1:6" x14ac:dyDescent="0.25">
      <c r="A48" s="3" t="s">
        <v>1</v>
      </c>
      <c r="B48" s="3">
        <v>50</v>
      </c>
      <c r="C48" s="3">
        <v>1</v>
      </c>
      <c r="D48" s="3">
        <v>35381.061000000002</v>
      </c>
      <c r="E48" s="3">
        <v>3.048</v>
      </c>
      <c r="F48" s="3">
        <v>73</v>
      </c>
    </row>
    <row r="49" spans="1:6" x14ac:dyDescent="0.25">
      <c r="A49" s="3" t="s">
        <v>1</v>
      </c>
      <c r="B49" s="3">
        <v>50</v>
      </c>
      <c r="C49" s="3">
        <v>1</v>
      </c>
      <c r="D49" s="3">
        <v>35433.608</v>
      </c>
      <c r="E49" s="3">
        <v>3.0449999999999999</v>
      </c>
      <c r="F49" s="3">
        <v>74</v>
      </c>
    </row>
    <row r="50" spans="1:6" x14ac:dyDescent="0.25">
      <c r="A50" s="3" t="s">
        <v>1</v>
      </c>
      <c r="B50" s="3">
        <v>50</v>
      </c>
      <c r="C50" s="3">
        <v>1</v>
      </c>
      <c r="D50" s="3">
        <v>35359.807999999997</v>
      </c>
      <c r="E50" s="3">
        <v>3.052</v>
      </c>
      <c r="F50" s="3">
        <v>74</v>
      </c>
    </row>
    <row r="51" spans="1:6" x14ac:dyDescent="0.25">
      <c r="A51" s="3" t="s">
        <v>1</v>
      </c>
      <c r="B51" s="3">
        <v>100</v>
      </c>
      <c r="C51" s="3">
        <v>1</v>
      </c>
      <c r="D51" s="3">
        <v>63197.292999999998</v>
      </c>
      <c r="E51" s="3">
        <v>11.744</v>
      </c>
      <c r="F51" s="3">
        <v>70</v>
      </c>
    </row>
    <row r="52" spans="1:6" x14ac:dyDescent="0.25">
      <c r="A52" s="3" t="s">
        <v>1</v>
      </c>
      <c r="B52" s="3">
        <v>100</v>
      </c>
      <c r="C52" s="3">
        <v>1</v>
      </c>
      <c r="D52" s="3">
        <v>63206.836000000003</v>
      </c>
      <c r="E52" s="3">
        <v>11.759</v>
      </c>
      <c r="F52" s="3">
        <v>70</v>
      </c>
    </row>
    <row r="53" spans="1:6" x14ac:dyDescent="0.25">
      <c r="A53" s="3" t="s">
        <v>1</v>
      </c>
      <c r="B53" s="3">
        <v>100</v>
      </c>
      <c r="C53" s="3">
        <v>1</v>
      </c>
      <c r="D53" s="3">
        <v>63160.262999999999</v>
      </c>
      <c r="E53" s="3">
        <v>11.686</v>
      </c>
      <c r="F53" s="3">
        <v>69</v>
      </c>
    </row>
    <row r="54" spans="1:6" x14ac:dyDescent="0.25">
      <c r="A54" s="3" t="s">
        <v>1</v>
      </c>
      <c r="B54" s="3">
        <v>100</v>
      </c>
      <c r="C54" s="3">
        <v>1</v>
      </c>
      <c r="D54" s="3">
        <v>63223.114000000001</v>
      </c>
      <c r="E54" s="3">
        <v>11.769</v>
      </c>
      <c r="F54" s="3">
        <v>69</v>
      </c>
    </row>
    <row r="55" spans="1:6" x14ac:dyDescent="0.25">
      <c r="A55" s="3" t="s">
        <v>1</v>
      </c>
      <c r="B55" s="3">
        <v>100</v>
      </c>
      <c r="C55" s="3">
        <v>1</v>
      </c>
      <c r="D55" s="3">
        <v>63191.855000000003</v>
      </c>
      <c r="E55" s="3">
        <v>11.773999999999999</v>
      </c>
      <c r="F55" s="3">
        <v>71</v>
      </c>
    </row>
    <row r="56" spans="1:6" x14ac:dyDescent="0.25">
      <c r="A56" s="3" t="s">
        <v>1</v>
      </c>
      <c r="B56" s="3">
        <v>100</v>
      </c>
      <c r="C56" s="3">
        <v>1</v>
      </c>
      <c r="D56" s="3">
        <v>63169.45</v>
      </c>
      <c r="E56" s="3">
        <v>11.695</v>
      </c>
      <c r="F56" s="3">
        <v>69</v>
      </c>
    </row>
    <row r="57" spans="1:6" x14ac:dyDescent="0.25">
      <c r="A57" s="3" t="s">
        <v>1</v>
      </c>
      <c r="B57" s="3">
        <v>100</v>
      </c>
      <c r="C57" s="3">
        <v>1</v>
      </c>
      <c r="D57" s="3">
        <v>63120.552000000003</v>
      </c>
      <c r="E57" s="3">
        <v>11.702999999999999</v>
      </c>
      <c r="F57" s="3">
        <v>69</v>
      </c>
    </row>
    <row r="58" spans="1:6" x14ac:dyDescent="0.25">
      <c r="A58" s="3" t="s">
        <v>1</v>
      </c>
      <c r="B58" s="3">
        <v>100</v>
      </c>
      <c r="C58" s="3">
        <v>1</v>
      </c>
      <c r="D58" s="3">
        <v>63144.84</v>
      </c>
      <c r="E58" s="3">
        <v>11.68</v>
      </c>
      <c r="F58" s="3">
        <v>70</v>
      </c>
    </row>
    <row r="59" spans="1:6" x14ac:dyDescent="0.25">
      <c r="A59" s="3" t="s">
        <v>1</v>
      </c>
      <c r="B59" s="3">
        <v>100</v>
      </c>
      <c r="C59" s="3">
        <v>1</v>
      </c>
      <c r="D59" s="3">
        <v>63107.338000000003</v>
      </c>
      <c r="E59" s="3">
        <v>11.702999999999999</v>
      </c>
      <c r="F59" s="3">
        <v>70</v>
      </c>
    </row>
    <row r="60" spans="1:6" x14ac:dyDescent="0.25">
      <c r="A60" s="3" t="s">
        <v>1</v>
      </c>
      <c r="B60" s="3">
        <v>100</v>
      </c>
      <c r="C60" s="3">
        <v>1</v>
      </c>
      <c r="D60" s="3">
        <v>63130.944000000003</v>
      </c>
      <c r="E60" s="3">
        <v>11.753</v>
      </c>
      <c r="F60" s="3">
        <v>70</v>
      </c>
    </row>
    <row r="61" spans="1:6" x14ac:dyDescent="0.25">
      <c r="A61" s="3" t="s">
        <v>0</v>
      </c>
      <c r="B61" s="3">
        <v>25</v>
      </c>
      <c r="C61" s="3">
        <v>1</v>
      </c>
      <c r="D61" s="3">
        <v>723.55899999999997</v>
      </c>
      <c r="E61" s="3">
        <v>0.90300000000000002</v>
      </c>
      <c r="F61" s="3">
        <v>74</v>
      </c>
    </row>
    <row r="62" spans="1:6" x14ac:dyDescent="0.25">
      <c r="A62" s="3" t="s">
        <v>0</v>
      </c>
      <c r="B62" s="3">
        <v>25</v>
      </c>
      <c r="C62" s="3">
        <v>1</v>
      </c>
      <c r="D62" s="3">
        <v>723.38099999999997</v>
      </c>
      <c r="E62" s="3">
        <v>0.90300000000000002</v>
      </c>
      <c r="F62" s="3">
        <v>77</v>
      </c>
    </row>
    <row r="63" spans="1:6" x14ac:dyDescent="0.25">
      <c r="A63" s="3" t="s">
        <v>0</v>
      </c>
      <c r="B63" s="3">
        <v>25</v>
      </c>
      <c r="C63" s="3">
        <v>1</v>
      </c>
      <c r="D63" s="3">
        <v>723.54399999999998</v>
      </c>
      <c r="E63" s="3">
        <v>0.90500000000000003</v>
      </c>
      <c r="F63" s="3">
        <v>82</v>
      </c>
    </row>
    <row r="64" spans="1:6" x14ac:dyDescent="0.25">
      <c r="A64" s="3" t="s">
        <v>0</v>
      </c>
      <c r="B64" s="3">
        <v>25</v>
      </c>
      <c r="C64" s="3">
        <v>1</v>
      </c>
      <c r="D64" s="3">
        <v>723.55899999999997</v>
      </c>
      <c r="E64" s="3">
        <v>0.90100000000000002</v>
      </c>
      <c r="F64" s="3">
        <v>75</v>
      </c>
    </row>
    <row r="65" spans="1:6" x14ac:dyDescent="0.25">
      <c r="A65" s="3" t="s">
        <v>0</v>
      </c>
      <c r="B65" s="3">
        <v>25</v>
      </c>
      <c r="C65" s="3">
        <v>1</v>
      </c>
      <c r="D65" s="3">
        <v>723.53300000000002</v>
      </c>
      <c r="E65" s="3">
        <v>0.90200000000000002</v>
      </c>
      <c r="F65" s="3">
        <v>81</v>
      </c>
    </row>
    <row r="66" spans="1:6" x14ac:dyDescent="0.25">
      <c r="A66" s="3" t="s">
        <v>0</v>
      </c>
      <c r="B66" s="3">
        <v>25</v>
      </c>
      <c r="C66" s="3">
        <v>1</v>
      </c>
      <c r="D66" s="3">
        <v>723.36400000000003</v>
      </c>
      <c r="E66" s="3">
        <v>0.90100000000000002</v>
      </c>
      <c r="F66" s="3">
        <v>77</v>
      </c>
    </row>
    <row r="67" spans="1:6" x14ac:dyDescent="0.25">
      <c r="A67" s="3" t="s">
        <v>0</v>
      </c>
      <c r="B67" s="3">
        <v>25</v>
      </c>
      <c r="C67" s="3">
        <v>1</v>
      </c>
      <c r="D67" s="3">
        <v>723.61300000000006</v>
      </c>
      <c r="E67" s="3">
        <v>0.90800000000000003</v>
      </c>
      <c r="F67" s="3">
        <v>80</v>
      </c>
    </row>
    <row r="68" spans="1:6" x14ac:dyDescent="0.25">
      <c r="A68" s="3" t="s">
        <v>0</v>
      </c>
      <c r="B68" s="3">
        <v>25</v>
      </c>
      <c r="C68" s="3">
        <v>1</v>
      </c>
      <c r="D68" s="3">
        <v>722.93499999999995</v>
      </c>
      <c r="E68" s="3">
        <v>0.90300000000000002</v>
      </c>
      <c r="F68" s="3">
        <v>78</v>
      </c>
    </row>
    <row r="69" spans="1:6" x14ac:dyDescent="0.25">
      <c r="A69" s="3" t="s">
        <v>0</v>
      </c>
      <c r="B69" s="3">
        <v>25</v>
      </c>
      <c r="C69" s="3">
        <v>1</v>
      </c>
      <c r="D69" s="3">
        <v>723.52800000000002</v>
      </c>
      <c r="E69" s="3">
        <v>0.90500000000000003</v>
      </c>
      <c r="F69" s="3">
        <v>80</v>
      </c>
    </row>
    <row r="70" spans="1:6" x14ac:dyDescent="0.25">
      <c r="A70" s="3" t="s">
        <v>0</v>
      </c>
      <c r="B70" s="3">
        <v>25</v>
      </c>
      <c r="C70" s="3">
        <v>1</v>
      </c>
      <c r="D70" s="3">
        <v>723.54399999999998</v>
      </c>
      <c r="E70" s="3">
        <v>0.90600000000000003</v>
      </c>
      <c r="F70" s="3">
        <v>69</v>
      </c>
    </row>
    <row r="71" spans="1:6" x14ac:dyDescent="0.25">
      <c r="A71" s="3" t="s">
        <v>0</v>
      </c>
      <c r="B71" s="3">
        <v>50</v>
      </c>
      <c r="C71" s="3">
        <v>1</v>
      </c>
      <c r="D71" s="3">
        <v>1572.2729999999999</v>
      </c>
      <c r="E71" s="3">
        <v>3.38</v>
      </c>
      <c r="F71" s="3">
        <v>84</v>
      </c>
    </row>
    <row r="72" spans="1:6" x14ac:dyDescent="0.25">
      <c r="A72" s="3" t="s">
        <v>0</v>
      </c>
      <c r="B72" s="3">
        <v>50</v>
      </c>
      <c r="C72" s="3">
        <v>1</v>
      </c>
      <c r="D72" s="3">
        <v>1571.796</v>
      </c>
      <c r="E72" s="3">
        <v>3.37</v>
      </c>
      <c r="F72" s="3">
        <v>83</v>
      </c>
    </row>
    <row r="73" spans="1:6" x14ac:dyDescent="0.25">
      <c r="A73" s="3" t="s">
        <v>0</v>
      </c>
      <c r="B73" s="3">
        <v>50</v>
      </c>
      <c r="C73" s="3">
        <v>1</v>
      </c>
      <c r="D73" s="3">
        <v>1570.7660000000001</v>
      </c>
      <c r="E73" s="3">
        <v>3.37</v>
      </c>
      <c r="F73" s="3">
        <v>83</v>
      </c>
    </row>
    <row r="74" spans="1:6" x14ac:dyDescent="0.25">
      <c r="A74" s="3" t="s">
        <v>0</v>
      </c>
      <c r="B74" s="3">
        <v>50</v>
      </c>
      <c r="C74" s="3">
        <v>1</v>
      </c>
      <c r="D74" s="3">
        <v>1572.9179999999999</v>
      </c>
      <c r="E74" s="3">
        <v>3.371</v>
      </c>
      <c r="F74" s="3">
        <v>83</v>
      </c>
    </row>
    <row r="75" spans="1:6" x14ac:dyDescent="0.25">
      <c r="A75" s="3" t="s">
        <v>0</v>
      </c>
      <c r="B75" s="3">
        <v>50</v>
      </c>
      <c r="C75" s="3">
        <v>1</v>
      </c>
      <c r="D75" s="3">
        <v>1571.2660000000001</v>
      </c>
      <c r="E75" s="3">
        <v>3.367</v>
      </c>
      <c r="F75" s="3">
        <v>83</v>
      </c>
    </row>
    <row r="76" spans="1:6" x14ac:dyDescent="0.25">
      <c r="A76" s="3" t="s">
        <v>0</v>
      </c>
      <c r="B76" s="3">
        <v>50</v>
      </c>
      <c r="C76" s="3">
        <v>1</v>
      </c>
      <c r="D76" s="3">
        <v>1570.971</v>
      </c>
      <c r="E76" s="3">
        <v>3.3889999999999998</v>
      </c>
      <c r="F76" s="3">
        <v>81</v>
      </c>
    </row>
    <row r="77" spans="1:6" x14ac:dyDescent="0.25">
      <c r="A77" s="3" t="s">
        <v>0</v>
      </c>
      <c r="B77" s="3">
        <v>50</v>
      </c>
      <c r="C77" s="3">
        <v>1</v>
      </c>
      <c r="D77" s="3">
        <v>1571.5119999999999</v>
      </c>
      <c r="E77" s="3">
        <v>3.3769999999999998</v>
      </c>
      <c r="F77" s="3">
        <v>82</v>
      </c>
    </row>
    <row r="78" spans="1:6" x14ac:dyDescent="0.25">
      <c r="A78" s="3" t="s">
        <v>0</v>
      </c>
      <c r="B78" s="3">
        <v>50</v>
      </c>
      <c r="C78" s="3">
        <v>1</v>
      </c>
      <c r="D78" s="3">
        <v>1571.778</v>
      </c>
      <c r="E78" s="3">
        <v>3.4350000000000001</v>
      </c>
      <c r="F78" s="3">
        <v>85</v>
      </c>
    </row>
    <row r="79" spans="1:6" x14ac:dyDescent="0.25">
      <c r="A79" s="3" t="s">
        <v>0</v>
      </c>
      <c r="B79" s="3">
        <v>50</v>
      </c>
      <c r="C79" s="3">
        <v>1</v>
      </c>
      <c r="D79" s="3">
        <v>1571.1679999999999</v>
      </c>
      <c r="E79" s="3">
        <v>3.3679999999999999</v>
      </c>
      <c r="F79" s="3">
        <v>82</v>
      </c>
    </row>
    <row r="80" spans="1:6" x14ac:dyDescent="0.25">
      <c r="A80" s="3" t="s">
        <v>0</v>
      </c>
      <c r="B80" s="3">
        <v>50</v>
      </c>
      <c r="C80" s="3">
        <v>1</v>
      </c>
      <c r="D80" s="3">
        <v>1572.1790000000001</v>
      </c>
      <c r="E80" s="3">
        <v>3.39</v>
      </c>
      <c r="F80" s="3">
        <v>83</v>
      </c>
    </row>
    <row r="81" spans="1:6" x14ac:dyDescent="0.25">
      <c r="A81" s="3" t="s">
        <v>0</v>
      </c>
      <c r="B81" s="3">
        <v>100</v>
      </c>
      <c r="C81" s="3">
        <v>1</v>
      </c>
      <c r="D81" s="3">
        <v>3293.7809999999999</v>
      </c>
      <c r="E81" s="3">
        <v>11.313000000000001</v>
      </c>
      <c r="F81" s="3">
        <v>66</v>
      </c>
    </row>
    <row r="82" spans="1:6" x14ac:dyDescent="0.25">
      <c r="A82" s="3" t="s">
        <v>0</v>
      </c>
      <c r="B82" s="3">
        <v>100</v>
      </c>
      <c r="C82" s="3">
        <v>1</v>
      </c>
      <c r="D82" s="3">
        <v>3300.6640000000002</v>
      </c>
      <c r="E82" s="3">
        <v>11.422000000000001</v>
      </c>
      <c r="F82" s="3">
        <v>67</v>
      </c>
    </row>
    <row r="83" spans="1:6" x14ac:dyDescent="0.25">
      <c r="A83" s="3" t="s">
        <v>0</v>
      </c>
      <c r="B83" s="3">
        <v>100</v>
      </c>
      <c r="C83" s="3">
        <v>1</v>
      </c>
      <c r="D83" s="3">
        <v>3293.8960000000002</v>
      </c>
      <c r="E83" s="3">
        <v>11.324</v>
      </c>
      <c r="F83" s="3">
        <v>69</v>
      </c>
    </row>
    <row r="84" spans="1:6" x14ac:dyDescent="0.25">
      <c r="A84" s="3" t="s">
        <v>0</v>
      </c>
      <c r="B84" s="3">
        <v>100</v>
      </c>
      <c r="C84" s="3">
        <v>1</v>
      </c>
      <c r="D84" s="3">
        <v>3292.768</v>
      </c>
      <c r="E84" s="3">
        <v>11.343999999999999</v>
      </c>
      <c r="F84" s="3">
        <v>66</v>
      </c>
    </row>
    <row r="85" spans="1:6" x14ac:dyDescent="0.25">
      <c r="A85" s="3" t="s">
        <v>0</v>
      </c>
      <c r="B85" s="3">
        <v>100</v>
      </c>
      <c r="C85" s="3">
        <v>1</v>
      </c>
      <c r="D85" s="3">
        <v>3294.038</v>
      </c>
      <c r="E85" s="3">
        <v>11.340999999999999</v>
      </c>
      <c r="F85" s="3">
        <v>69</v>
      </c>
    </row>
    <row r="86" spans="1:6" x14ac:dyDescent="0.25">
      <c r="A86" s="3" t="s">
        <v>0</v>
      </c>
      <c r="B86" s="3">
        <v>100</v>
      </c>
      <c r="C86" s="3">
        <v>1</v>
      </c>
      <c r="D86" s="3">
        <v>3299.127</v>
      </c>
      <c r="E86" s="3">
        <v>11.398999999999999</v>
      </c>
      <c r="F86" s="3">
        <v>69</v>
      </c>
    </row>
    <row r="87" spans="1:6" x14ac:dyDescent="0.25">
      <c r="A87" s="3" t="s">
        <v>0</v>
      </c>
      <c r="B87" s="3">
        <v>100</v>
      </c>
      <c r="C87" s="3">
        <v>1</v>
      </c>
      <c r="D87" s="3">
        <v>3297.8980000000001</v>
      </c>
      <c r="E87" s="3">
        <v>11.335000000000001</v>
      </c>
      <c r="F87" s="3">
        <v>66</v>
      </c>
    </row>
    <row r="88" spans="1:6" x14ac:dyDescent="0.25">
      <c r="A88" s="3" t="s">
        <v>0</v>
      </c>
      <c r="B88" s="3">
        <v>100</v>
      </c>
      <c r="C88" s="3">
        <v>1</v>
      </c>
      <c r="D88" s="3">
        <v>3297.31</v>
      </c>
      <c r="E88" s="3">
        <v>11.422000000000001</v>
      </c>
      <c r="F88" s="3">
        <v>66</v>
      </c>
    </row>
    <row r="89" spans="1:6" x14ac:dyDescent="0.25">
      <c r="A89" s="3" t="s">
        <v>0</v>
      </c>
      <c r="B89" s="3">
        <v>100</v>
      </c>
      <c r="C89" s="3">
        <v>1</v>
      </c>
      <c r="D89" s="3">
        <v>3295.7750000000001</v>
      </c>
      <c r="E89" s="3">
        <v>11.318</v>
      </c>
      <c r="F89" s="3">
        <v>66</v>
      </c>
    </row>
    <row r="90" spans="1:6" x14ac:dyDescent="0.25">
      <c r="A90" s="3" t="s">
        <v>0</v>
      </c>
      <c r="B90" s="3">
        <v>100</v>
      </c>
      <c r="C90" s="3">
        <v>1</v>
      </c>
      <c r="D90" s="3">
        <v>3301.4229999999998</v>
      </c>
      <c r="E90" s="3">
        <v>11.371</v>
      </c>
      <c r="F90" s="3">
        <v>69</v>
      </c>
    </row>
  </sheetData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0"/>
  <sheetViews>
    <sheetView zoomScale="85" zoomScaleNormal="85" workbookViewId="0">
      <selection sqref="A1:F91"/>
    </sheetView>
  </sheetViews>
  <sheetFormatPr defaultColWidth="9" defaultRowHeight="15" x14ac:dyDescent="0.25"/>
  <cols>
    <col min="1" max="1" width="9.875" style="3" customWidth="1"/>
    <col min="2" max="2" width="4.375" style="3" bestFit="1" customWidth="1"/>
    <col min="3" max="3" width="2.625" style="3" bestFit="1" customWidth="1"/>
    <col min="4" max="4" width="10.625" style="3" customWidth="1"/>
    <col min="5" max="5" width="7" style="3" bestFit="1" customWidth="1"/>
    <col min="6" max="6" width="3.5" style="3" bestFit="1" customWidth="1"/>
    <col min="7" max="7" width="2.75" style="3" customWidth="1"/>
    <col min="8" max="8" width="9.875" style="3" customWidth="1"/>
    <col min="9" max="9" width="4.375" style="3" bestFit="1" customWidth="1"/>
    <col min="10" max="10" width="3.125" style="3" bestFit="1" customWidth="1"/>
    <col min="11" max="11" width="2.375" style="3" customWidth="1"/>
    <col min="12" max="21" width="9" style="3"/>
    <col min="22" max="22" width="2.625" style="3" customWidth="1"/>
    <col min="23" max="23" width="9" style="3"/>
    <col min="24" max="24" width="2.375" style="3" customWidth="1"/>
    <col min="25" max="25" width="9" style="3"/>
    <col min="26" max="26" width="2.625" style="3" customWidth="1"/>
    <col min="27" max="27" width="2.5" style="3" customWidth="1"/>
    <col min="28" max="37" width="9" style="3"/>
    <col min="38" max="38" width="5.625" style="3" customWidth="1"/>
    <col min="39" max="16384" width="9" style="3"/>
  </cols>
  <sheetData>
    <row r="1" spans="1:39" x14ac:dyDescent="0.25">
      <c r="A1" s="3" t="s">
        <v>2</v>
      </c>
      <c r="B1" s="3">
        <v>24</v>
      </c>
      <c r="C1" s="3">
        <v>1</v>
      </c>
      <c r="D1" s="3">
        <v>56013.43</v>
      </c>
      <c r="E1" s="3">
        <v>1.238</v>
      </c>
      <c r="F1" s="3">
        <v>112</v>
      </c>
      <c r="H1" s="5" t="s">
        <v>13</v>
      </c>
      <c r="I1" s="5" t="s">
        <v>14</v>
      </c>
      <c r="J1" s="5" t="s">
        <v>10</v>
      </c>
      <c r="K1" s="2"/>
      <c r="L1" s="2">
        <v>1</v>
      </c>
      <c r="M1" s="2">
        <v>2</v>
      </c>
      <c r="N1" s="2">
        <v>3</v>
      </c>
      <c r="O1" s="2">
        <v>4</v>
      </c>
      <c r="P1" s="2">
        <v>5</v>
      </c>
      <c r="Q1" s="2">
        <v>6</v>
      </c>
      <c r="R1" s="2">
        <v>7</v>
      </c>
      <c r="S1" s="2">
        <v>8</v>
      </c>
      <c r="T1" s="2">
        <v>9</v>
      </c>
      <c r="U1" s="2">
        <v>10</v>
      </c>
      <c r="W1" s="2" t="s">
        <v>11</v>
      </c>
      <c r="X1" s="2"/>
      <c r="Y1" s="2" t="s">
        <v>9</v>
      </c>
      <c r="Z1" s="2"/>
      <c r="AM1" s="5" t="s">
        <v>12</v>
      </c>
    </row>
    <row r="2" spans="1:39" x14ac:dyDescent="0.25">
      <c r="A2" s="3" t="s">
        <v>2</v>
      </c>
      <c r="B2" s="3">
        <v>24</v>
      </c>
      <c r="C2" s="3">
        <v>1</v>
      </c>
      <c r="D2" s="3">
        <v>55984.245999999999</v>
      </c>
      <c r="E2" s="3">
        <v>1.238</v>
      </c>
      <c r="F2" s="3">
        <v>129</v>
      </c>
      <c r="H2" s="3" t="s">
        <v>2</v>
      </c>
      <c r="I2" s="3">
        <v>24</v>
      </c>
      <c r="J2" s="3">
        <v>1</v>
      </c>
      <c r="L2" s="3">
        <f ca="1">INDIRECT("D"&amp;1+(ROW(D1)-1)*10+COLUMN(A1)-1)</f>
        <v>56013.43</v>
      </c>
      <c r="M2" s="3">
        <f t="shared" ref="M2:U10" ca="1" si="0">INDIRECT("D"&amp;1+(ROW(E1)-1)*10+COLUMN(B1)-1)</f>
        <v>55984.245999999999</v>
      </c>
      <c r="N2" s="3">
        <f t="shared" ca="1" si="0"/>
        <v>56015.271999999997</v>
      </c>
      <c r="O2" s="3">
        <f t="shared" ca="1" si="0"/>
        <v>56025.595000000001</v>
      </c>
      <c r="P2" s="3">
        <f t="shared" ca="1" si="0"/>
        <v>55980.936999999998</v>
      </c>
      <c r="Q2" s="3">
        <f t="shared" ca="1" si="0"/>
        <v>55993.527000000002</v>
      </c>
      <c r="R2" s="3">
        <f t="shared" ca="1" si="0"/>
        <v>55982.987999999998</v>
      </c>
      <c r="S2" s="3">
        <f t="shared" ca="1" si="0"/>
        <v>55722.476000000002</v>
      </c>
      <c r="T2" s="3">
        <f t="shared" ca="1" si="0"/>
        <v>55979.538</v>
      </c>
      <c r="U2" s="3">
        <f t="shared" ca="1" si="0"/>
        <v>56007.483</v>
      </c>
      <c r="W2" s="3">
        <f ca="1">AVERAGE(L2:U2)</f>
        <v>55970.549199999994</v>
      </c>
      <c r="Y2" s="3">
        <f ca="1">Total!E2</f>
        <v>55722.476000000002</v>
      </c>
      <c r="AB2" s="3">
        <f t="shared" ref="AB2:AK10" ca="1" si="1">(L2-$Y2)/$Y2</f>
        <v>5.2214836971709207E-3</v>
      </c>
      <c r="AC2" s="3">
        <f t="shared" ca="1" si="1"/>
        <v>4.6977453047850346E-3</v>
      </c>
      <c r="AD2" s="3">
        <f t="shared" ca="1" si="1"/>
        <v>5.2545403761310753E-3</v>
      </c>
      <c r="AE2" s="3">
        <f t="shared" ca="1" si="1"/>
        <v>5.4397977577306288E-3</v>
      </c>
      <c r="AF2" s="3">
        <f t="shared" ca="1" si="1"/>
        <v>4.6383617267832045E-3</v>
      </c>
      <c r="AG2" s="3">
        <f t="shared" ca="1" si="1"/>
        <v>4.8643028712507226E-3</v>
      </c>
      <c r="AH2" s="3">
        <f t="shared" ca="1" si="1"/>
        <v>4.6751691364180434E-3</v>
      </c>
      <c r="AI2" s="3">
        <f t="shared" ca="1" si="1"/>
        <v>0</v>
      </c>
      <c r="AJ2" s="3">
        <f t="shared" ca="1" si="1"/>
        <v>4.6132551611668881E-3</v>
      </c>
      <c r="AK2" s="3">
        <f t="shared" ca="1" si="1"/>
        <v>5.1147583607016635E-3</v>
      </c>
      <c r="AM2" s="3">
        <f ca="1">SUM(AB2:AK2)</f>
        <v>4.4519414392138176E-2</v>
      </c>
    </row>
    <row r="3" spans="1:39" x14ac:dyDescent="0.25">
      <c r="A3" s="3" t="s">
        <v>2</v>
      </c>
      <c r="B3" s="3">
        <v>24</v>
      </c>
      <c r="C3" s="3">
        <v>1</v>
      </c>
      <c r="D3" s="3">
        <v>56015.271999999997</v>
      </c>
      <c r="E3" s="3">
        <v>1.2410000000000001</v>
      </c>
      <c r="F3" s="3">
        <v>142</v>
      </c>
      <c r="H3" s="3" t="s">
        <v>2</v>
      </c>
      <c r="I3" s="3">
        <v>47</v>
      </c>
      <c r="J3" s="3">
        <v>1</v>
      </c>
      <c r="L3" s="3">
        <f t="shared" ref="L3:L10" ca="1" si="2">INDIRECT("D"&amp;1+(ROW(D2)-1)*10+COLUMN(A2)-1)</f>
        <v>126292.52899999999</v>
      </c>
      <c r="M3" s="3">
        <f t="shared" ca="1" si="0"/>
        <v>126233.179</v>
      </c>
      <c r="N3" s="3">
        <f t="shared" ca="1" si="0"/>
        <v>126172.837</v>
      </c>
      <c r="O3" s="3">
        <f t="shared" ca="1" si="0"/>
        <v>126313.26300000001</v>
      </c>
      <c r="P3" s="3">
        <f t="shared" ca="1" si="0"/>
        <v>126428.402</v>
      </c>
      <c r="Q3" s="3">
        <f t="shared" ca="1" si="0"/>
        <v>126214.838</v>
      </c>
      <c r="R3" s="3">
        <f t="shared" ca="1" si="0"/>
        <v>126313.731</v>
      </c>
      <c r="S3" s="3">
        <f t="shared" ca="1" si="0"/>
        <v>126262.10799999999</v>
      </c>
      <c r="T3" s="3">
        <f t="shared" ca="1" si="0"/>
        <v>126212.083</v>
      </c>
      <c r="U3" s="3">
        <f t="shared" ca="1" si="0"/>
        <v>126195.504</v>
      </c>
      <c r="W3" s="3">
        <f t="shared" ref="W3:W10" ca="1" si="3">AVERAGE(L3:U3)</f>
        <v>126263.8474</v>
      </c>
      <c r="Y3" s="3">
        <f ca="1">Total!E3</f>
        <v>126021.209</v>
      </c>
      <c r="AB3" s="3">
        <f t="shared" ca="1" si="1"/>
        <v>2.1529709336465135E-3</v>
      </c>
      <c r="AC3" s="3">
        <f t="shared" ca="1" si="1"/>
        <v>1.6820184608767018E-3</v>
      </c>
      <c r="AD3" s="3">
        <f t="shared" ca="1" si="1"/>
        <v>1.2031942972392604E-3</v>
      </c>
      <c r="AE3" s="3">
        <f t="shared" ca="1" si="1"/>
        <v>2.3174987949846101E-3</v>
      </c>
      <c r="AF3" s="3">
        <f t="shared" ca="1" si="1"/>
        <v>3.2311465921581444E-3</v>
      </c>
      <c r="AG3" s="3">
        <f t="shared" ca="1" si="1"/>
        <v>1.5364794667221517E-3</v>
      </c>
      <c r="AH3" s="3">
        <f t="shared" ca="1" si="1"/>
        <v>2.3212124555954481E-3</v>
      </c>
      <c r="AI3" s="3">
        <f t="shared" ca="1" si="1"/>
        <v>1.9115750587664203E-3</v>
      </c>
      <c r="AJ3" s="3">
        <f t="shared" ca="1" si="1"/>
        <v>1.5146180671857874E-3</v>
      </c>
      <c r="AK3" s="3">
        <f t="shared" ca="1" si="1"/>
        <v>1.3830608465278114E-3</v>
      </c>
      <c r="AM3" s="3">
        <f t="shared" ref="AM3:AM10" ca="1" si="4">SUM(AB3:AK3)</f>
        <v>1.9253774973702849E-2</v>
      </c>
    </row>
    <row r="4" spans="1:39" x14ac:dyDescent="0.25">
      <c r="A4" s="3" t="s">
        <v>2</v>
      </c>
      <c r="B4" s="3">
        <v>24</v>
      </c>
      <c r="C4" s="3">
        <v>1</v>
      </c>
      <c r="D4" s="3">
        <v>56025.595000000001</v>
      </c>
      <c r="E4" s="3">
        <v>1.24</v>
      </c>
      <c r="F4" s="3">
        <v>134</v>
      </c>
      <c r="H4" s="3" t="s">
        <v>2</v>
      </c>
      <c r="I4" s="3">
        <v>100</v>
      </c>
      <c r="J4" s="3">
        <v>1</v>
      </c>
      <c r="L4" s="3">
        <f t="shared" ca="1" si="2"/>
        <v>1216746.264</v>
      </c>
      <c r="M4" s="3">
        <f t="shared" ca="1" si="0"/>
        <v>1217108.368</v>
      </c>
      <c r="N4" s="3">
        <f t="shared" ca="1" si="0"/>
        <v>1217023.686</v>
      </c>
      <c r="O4" s="3">
        <f t="shared" ca="1" si="0"/>
        <v>1217524.345</v>
      </c>
      <c r="P4" s="3">
        <f t="shared" ca="1" si="0"/>
        <v>1217053.152</v>
      </c>
      <c r="Q4" s="3">
        <f t="shared" ca="1" si="0"/>
        <v>1216926.953</v>
      </c>
      <c r="R4" s="3">
        <f t="shared" ca="1" si="0"/>
        <v>1216870.148</v>
      </c>
      <c r="S4" s="3">
        <f t="shared" ca="1" si="0"/>
        <v>1217146.2860000001</v>
      </c>
      <c r="T4" s="3">
        <f t="shared" ca="1" si="0"/>
        <v>1217726.351</v>
      </c>
      <c r="U4" s="3">
        <f t="shared" ca="1" si="0"/>
        <v>1216857.6059999999</v>
      </c>
      <c r="W4" s="3">
        <f t="shared" ca="1" si="3"/>
        <v>1217098.3159</v>
      </c>
      <c r="Y4" s="3">
        <f ca="1">Total!E4</f>
        <v>1216556.6340000001</v>
      </c>
      <c r="AB4" s="3">
        <f t="shared" ca="1" si="1"/>
        <v>1.5587437090897342E-4</v>
      </c>
      <c r="AC4" s="3">
        <f t="shared" ca="1" si="1"/>
        <v>4.5352101544656777E-4</v>
      </c>
      <c r="AD4" s="3">
        <f t="shared" ca="1" si="1"/>
        <v>3.8391307642148676E-4</v>
      </c>
      <c r="AE4" s="3">
        <f t="shared" ca="1" si="1"/>
        <v>7.9545084294028339E-4</v>
      </c>
      <c r="AF4" s="3">
        <f t="shared" ca="1" si="1"/>
        <v>4.0813389703641501E-4</v>
      </c>
      <c r="AG4" s="3">
        <f t="shared" ca="1" si="1"/>
        <v>3.0439931002825904E-4</v>
      </c>
      <c r="AH4" s="3">
        <f t="shared" ca="1" si="1"/>
        <v>2.5770604609597357E-4</v>
      </c>
      <c r="AI4" s="3">
        <f t="shared" ca="1" si="1"/>
        <v>4.8468931369125381E-4</v>
      </c>
      <c r="AJ4" s="3">
        <f t="shared" ca="1" si="1"/>
        <v>9.6149818866545747E-4</v>
      </c>
      <c r="AK4" s="3">
        <f t="shared" ca="1" si="1"/>
        <v>2.4739662058333259E-4</v>
      </c>
      <c r="AM4" s="3">
        <f t="shared" ca="1" si="4"/>
        <v>4.4525826818180032E-3</v>
      </c>
    </row>
    <row r="5" spans="1:39" x14ac:dyDescent="0.25">
      <c r="A5" s="3" t="s">
        <v>2</v>
      </c>
      <c r="B5" s="3">
        <v>24</v>
      </c>
      <c r="C5" s="3">
        <v>1</v>
      </c>
      <c r="D5" s="3">
        <v>55980.936999999998</v>
      </c>
      <c r="E5" s="3">
        <v>1.248</v>
      </c>
      <c r="F5" s="3">
        <v>126</v>
      </c>
      <c r="H5" s="3" t="s">
        <v>1</v>
      </c>
      <c r="I5" s="3">
        <v>30</v>
      </c>
      <c r="J5" s="3">
        <v>1</v>
      </c>
      <c r="L5" s="3">
        <f t="shared" ca="1" si="2"/>
        <v>19995.416000000001</v>
      </c>
      <c r="M5" s="3">
        <f t="shared" ca="1" si="0"/>
        <v>20039.434000000001</v>
      </c>
      <c r="N5" s="3">
        <f t="shared" ca="1" si="0"/>
        <v>20005.990000000002</v>
      </c>
      <c r="O5" s="3">
        <f t="shared" ca="1" si="0"/>
        <v>19992.778999999999</v>
      </c>
      <c r="P5" s="3">
        <f t="shared" ca="1" si="0"/>
        <v>20064.089</v>
      </c>
      <c r="Q5" s="3">
        <f t="shared" ca="1" si="0"/>
        <v>20010.393</v>
      </c>
      <c r="R5" s="3">
        <f t="shared" ca="1" si="0"/>
        <v>20013.3</v>
      </c>
      <c r="S5" s="3">
        <f t="shared" ca="1" si="0"/>
        <v>20009.726999999999</v>
      </c>
      <c r="T5" s="3">
        <f t="shared" ca="1" si="0"/>
        <v>20006.407999999999</v>
      </c>
      <c r="U5" s="3">
        <f t="shared" ca="1" si="0"/>
        <v>19998.956999999999</v>
      </c>
      <c r="W5" s="3">
        <f t="shared" ca="1" si="3"/>
        <v>20013.649300000001</v>
      </c>
      <c r="Y5" s="3">
        <f ca="1">Total!E5</f>
        <v>19969.536</v>
      </c>
      <c r="AB5" s="3">
        <f t="shared" ca="1" si="1"/>
        <v>1.2959740276389507E-3</v>
      </c>
      <c r="AC5" s="3">
        <f t="shared" ca="1" si="1"/>
        <v>3.5002315527011265E-3</v>
      </c>
      <c r="AD5" s="3">
        <f t="shared" ca="1" si="1"/>
        <v>1.8254805720073588E-3</v>
      </c>
      <c r="AE5" s="3">
        <f t="shared" ca="1" si="1"/>
        <v>1.163922887341928E-3</v>
      </c>
      <c r="AF5" s="3">
        <f t="shared" ca="1" si="1"/>
        <v>4.734862142014711E-3</v>
      </c>
      <c r="AG5" s="3">
        <f t="shared" ca="1" si="1"/>
        <v>2.0459664160449183E-3</v>
      </c>
      <c r="AH5" s="3">
        <f t="shared" ca="1" si="1"/>
        <v>2.191538150911429E-3</v>
      </c>
      <c r="AI5" s="3">
        <f t="shared" ca="1" si="1"/>
        <v>2.0126156161063978E-3</v>
      </c>
      <c r="AJ5" s="3">
        <f t="shared" ca="1" si="1"/>
        <v>1.8464124554521141E-3</v>
      </c>
      <c r="AK5" s="3">
        <f t="shared" ca="1" si="1"/>
        <v>1.4732941216059532E-3</v>
      </c>
      <c r="AM5" s="3">
        <f t="shared" ca="1" si="4"/>
        <v>2.2090297941824891E-2</v>
      </c>
    </row>
    <row r="6" spans="1:39" x14ac:dyDescent="0.25">
      <c r="A6" s="3" t="s">
        <v>2</v>
      </c>
      <c r="B6" s="3">
        <v>24</v>
      </c>
      <c r="C6" s="3">
        <v>1</v>
      </c>
      <c r="D6" s="3">
        <v>55993.527000000002</v>
      </c>
      <c r="E6" s="3">
        <v>1.24</v>
      </c>
      <c r="F6" s="3">
        <v>137</v>
      </c>
      <c r="H6" s="3" t="s">
        <v>1</v>
      </c>
      <c r="I6" s="3">
        <v>50</v>
      </c>
      <c r="J6" s="3">
        <v>1</v>
      </c>
      <c r="L6" s="3">
        <f t="shared" ca="1" si="2"/>
        <v>35451.141000000003</v>
      </c>
      <c r="M6" s="3">
        <f t="shared" ca="1" si="0"/>
        <v>35407.682000000001</v>
      </c>
      <c r="N6" s="3">
        <f t="shared" ca="1" si="0"/>
        <v>35467.006000000001</v>
      </c>
      <c r="O6" s="3">
        <f t="shared" ca="1" si="0"/>
        <v>35491.533000000003</v>
      </c>
      <c r="P6" s="3">
        <f t="shared" ca="1" si="0"/>
        <v>35358.464</v>
      </c>
      <c r="Q6" s="3">
        <f t="shared" ca="1" si="0"/>
        <v>35398.245999999999</v>
      </c>
      <c r="R6" s="3">
        <f t="shared" ca="1" si="0"/>
        <v>35387.732000000004</v>
      </c>
      <c r="S6" s="3">
        <f t="shared" ca="1" si="0"/>
        <v>35507.821000000004</v>
      </c>
      <c r="T6" s="3">
        <f t="shared" ca="1" si="0"/>
        <v>35515.743999999999</v>
      </c>
      <c r="U6" s="3">
        <f t="shared" ca="1" si="0"/>
        <v>35432.313000000002</v>
      </c>
      <c r="W6" s="3">
        <f t="shared" ca="1" si="3"/>
        <v>35441.768200000006</v>
      </c>
      <c r="Y6" s="3">
        <f ca="1">Total!E6</f>
        <v>35277.981</v>
      </c>
      <c r="AB6" s="3">
        <f t="shared" ca="1" si="1"/>
        <v>4.9084441652146558E-3</v>
      </c>
      <c r="AC6" s="3">
        <f t="shared" ca="1" si="1"/>
        <v>3.6765426003262753E-3</v>
      </c>
      <c r="AD6" s="3">
        <f t="shared" ca="1" si="1"/>
        <v>5.3581581100120628E-3</v>
      </c>
      <c r="AE6" s="3">
        <f t="shared" ca="1" si="1"/>
        <v>6.0534076482439093E-3</v>
      </c>
      <c r="AF6" s="3">
        <f t="shared" ca="1" si="1"/>
        <v>2.2813947317449992E-3</v>
      </c>
      <c r="AG6" s="3">
        <f t="shared" ca="1" si="1"/>
        <v>3.4090669757999873E-3</v>
      </c>
      <c r="AH6" s="3">
        <f t="shared" ca="1" si="1"/>
        <v>3.1110340469882288E-3</v>
      </c>
      <c r="AI6" s="3">
        <f t="shared" ca="1" si="1"/>
        <v>6.5151120751497597E-3</v>
      </c>
      <c r="AJ6" s="3">
        <f t="shared" ca="1" si="1"/>
        <v>6.7396997577610527E-3</v>
      </c>
      <c r="AK6" s="3">
        <f t="shared" ca="1" si="1"/>
        <v>4.3747401530717465E-3</v>
      </c>
      <c r="AM6" s="3">
        <f t="shared" ca="1" si="4"/>
        <v>4.6427600264312675E-2</v>
      </c>
    </row>
    <row r="7" spans="1:39" x14ac:dyDescent="0.25">
      <c r="A7" s="3" t="s">
        <v>2</v>
      </c>
      <c r="B7" s="3">
        <v>24</v>
      </c>
      <c r="C7" s="3">
        <v>1</v>
      </c>
      <c r="D7" s="3">
        <v>55982.987999999998</v>
      </c>
      <c r="E7" s="3">
        <v>1.2370000000000001</v>
      </c>
      <c r="F7" s="3">
        <v>128</v>
      </c>
      <c r="H7" s="3" t="s">
        <v>1</v>
      </c>
      <c r="I7" s="3">
        <v>100</v>
      </c>
      <c r="J7" s="3">
        <v>1</v>
      </c>
      <c r="L7" s="3">
        <f t="shared" ca="1" si="2"/>
        <v>63190.709000000003</v>
      </c>
      <c r="M7" s="3">
        <f t="shared" ca="1" si="0"/>
        <v>63183.82</v>
      </c>
      <c r="N7" s="3">
        <f t="shared" ca="1" si="0"/>
        <v>63213.932999999997</v>
      </c>
      <c r="O7" s="3">
        <f t="shared" ca="1" si="0"/>
        <v>63115.625</v>
      </c>
      <c r="P7" s="3">
        <f t="shared" ca="1" si="0"/>
        <v>63270.745999999999</v>
      </c>
      <c r="Q7" s="3">
        <f t="shared" ca="1" si="0"/>
        <v>63120.186000000002</v>
      </c>
      <c r="R7" s="3">
        <f t="shared" ca="1" si="0"/>
        <v>63216.546999999999</v>
      </c>
      <c r="S7" s="3">
        <f t="shared" ca="1" si="0"/>
        <v>63199.355000000003</v>
      </c>
      <c r="T7" s="3">
        <f t="shared" ca="1" si="0"/>
        <v>63203.732000000004</v>
      </c>
      <c r="U7" s="3">
        <f t="shared" ca="1" si="0"/>
        <v>63119.608999999997</v>
      </c>
      <c r="W7" s="3">
        <f t="shared" ca="1" si="3"/>
        <v>63183.426199999987</v>
      </c>
      <c r="Y7" s="3">
        <f ca="1">Total!E7</f>
        <v>63035.512000000002</v>
      </c>
      <c r="AB7" s="3">
        <f t="shared" ca="1" si="1"/>
        <v>2.4620566261125969E-3</v>
      </c>
      <c r="AC7" s="3">
        <f t="shared" ca="1" si="1"/>
        <v>2.3527690232768676E-3</v>
      </c>
      <c r="AD7" s="3">
        <f t="shared" ca="1" si="1"/>
        <v>2.830483870742492E-3</v>
      </c>
      <c r="AE7" s="3">
        <f t="shared" ca="1" si="1"/>
        <v>1.270918526052387E-3</v>
      </c>
      <c r="AF7" s="3">
        <f t="shared" ca="1" si="1"/>
        <v>3.731769482573517E-3</v>
      </c>
      <c r="AG7" s="3">
        <f t="shared" ca="1" si="1"/>
        <v>1.3432745656130954E-3</v>
      </c>
      <c r="AH7" s="3">
        <f t="shared" ca="1" si="1"/>
        <v>2.8719525590590301E-3</v>
      </c>
      <c r="AI7" s="3">
        <f t="shared" ca="1" si="1"/>
        <v>2.59921740621383E-3</v>
      </c>
      <c r="AJ7" s="3">
        <f t="shared" ca="1" si="1"/>
        <v>2.6686544562373217E-3</v>
      </c>
      <c r="AK7" s="3">
        <f t="shared" ca="1" si="1"/>
        <v>1.3341209951621285E-3</v>
      </c>
      <c r="AM7" s="3">
        <f t="shared" ca="1" si="4"/>
        <v>2.3465217511043263E-2</v>
      </c>
    </row>
    <row r="8" spans="1:39" x14ac:dyDescent="0.25">
      <c r="A8" s="3" t="s">
        <v>2</v>
      </c>
      <c r="B8" s="3">
        <v>24</v>
      </c>
      <c r="C8" s="3">
        <v>1</v>
      </c>
      <c r="D8" s="3">
        <v>55722.476000000002</v>
      </c>
      <c r="E8" s="3">
        <v>1.2390000000000001</v>
      </c>
      <c r="F8" s="3">
        <v>129</v>
      </c>
      <c r="H8" s="3" t="s">
        <v>0</v>
      </c>
      <c r="I8" s="3">
        <v>25</v>
      </c>
      <c r="J8" s="3">
        <v>1</v>
      </c>
      <c r="L8" s="3">
        <f t="shared" ca="1" si="2"/>
        <v>722.96699999999998</v>
      </c>
      <c r="M8" s="3">
        <f t="shared" ca="1" si="0"/>
        <v>723.66899999999998</v>
      </c>
      <c r="N8" s="3">
        <f t="shared" ca="1" si="0"/>
        <v>723.51900000000001</v>
      </c>
      <c r="O8" s="3">
        <f t="shared" ca="1" si="0"/>
        <v>722.98500000000001</v>
      </c>
      <c r="P8" s="3">
        <f t="shared" ca="1" si="0"/>
        <v>723.03399999999999</v>
      </c>
      <c r="Q8" s="3">
        <f t="shared" ca="1" si="0"/>
        <v>722.96699999999998</v>
      </c>
      <c r="R8" s="3">
        <f t="shared" ca="1" si="0"/>
        <v>723.27800000000002</v>
      </c>
      <c r="S8" s="3">
        <f t="shared" ca="1" si="0"/>
        <v>723.36199999999997</v>
      </c>
      <c r="T8" s="3">
        <f t="shared" ca="1" si="0"/>
        <v>722.96500000000003</v>
      </c>
      <c r="U8" s="3">
        <f t="shared" ca="1" si="0"/>
        <v>723.69100000000003</v>
      </c>
      <c r="W8" s="3">
        <f t="shared" ca="1" si="3"/>
        <v>723.24369999999999</v>
      </c>
      <c r="Y8" s="3">
        <f ca="1">Total!E8</f>
        <v>722.92</v>
      </c>
      <c r="AB8" s="3">
        <f t="shared" ca="1" si="1"/>
        <v>6.5014109445063727E-5</v>
      </c>
      <c r="AC8" s="3">
        <f t="shared" ca="1" si="1"/>
        <v>1.0360759143474018E-3</v>
      </c>
      <c r="AD8" s="3">
        <f t="shared" ca="1" si="1"/>
        <v>8.2858407569308694E-4</v>
      </c>
      <c r="AE8" s="3">
        <f t="shared" ca="1" si="1"/>
        <v>8.9913130083625544E-5</v>
      </c>
      <c r="AF8" s="3">
        <f t="shared" ca="1" si="1"/>
        <v>1.5769379737734846E-4</v>
      </c>
      <c r="AG8" s="3">
        <f t="shared" ca="1" si="1"/>
        <v>6.5014109445063727E-5</v>
      </c>
      <c r="AH8" s="3">
        <f t="shared" ca="1" si="1"/>
        <v>4.9521385492179069E-4</v>
      </c>
      <c r="AI8" s="3">
        <f t="shared" ca="1" si="1"/>
        <v>6.1140928456815044E-4</v>
      </c>
      <c r="AJ8" s="3">
        <f t="shared" ca="1" si="1"/>
        <v>6.2247551596404527E-5</v>
      </c>
      <c r="AK8" s="3">
        <f t="shared" ca="1" si="1"/>
        <v>1.0665080506834393E-3</v>
      </c>
      <c r="AM8" s="3">
        <f t="shared" ca="1" si="4"/>
        <v>4.4776738781613749E-3</v>
      </c>
    </row>
    <row r="9" spans="1:39" x14ac:dyDescent="0.25">
      <c r="A9" s="3" t="s">
        <v>2</v>
      </c>
      <c r="B9" s="3">
        <v>24</v>
      </c>
      <c r="C9" s="3">
        <v>1</v>
      </c>
      <c r="D9" s="3">
        <v>55979.538</v>
      </c>
      <c r="E9" s="3">
        <v>1.2410000000000001</v>
      </c>
      <c r="F9" s="3">
        <v>125</v>
      </c>
      <c r="H9" s="3" t="s">
        <v>0</v>
      </c>
      <c r="I9" s="3">
        <v>50</v>
      </c>
      <c r="J9" s="3">
        <v>1</v>
      </c>
      <c r="L9" s="3">
        <f t="shared" ca="1" si="2"/>
        <v>1572.761</v>
      </c>
      <c r="M9" s="3">
        <f t="shared" ca="1" si="0"/>
        <v>1572.7149999999999</v>
      </c>
      <c r="N9" s="3">
        <f t="shared" ca="1" si="0"/>
        <v>1571.979</v>
      </c>
      <c r="O9" s="3">
        <f t="shared" ca="1" si="0"/>
        <v>1572.5340000000001</v>
      </c>
      <c r="P9" s="3">
        <f t="shared" ca="1" si="0"/>
        <v>1573.2329999999999</v>
      </c>
      <c r="Q9" s="3">
        <f t="shared" ca="1" si="0"/>
        <v>1573.0619999999999</v>
      </c>
      <c r="R9" s="3">
        <f t="shared" ca="1" si="0"/>
        <v>1572.7719999999999</v>
      </c>
      <c r="S9" s="3">
        <f t="shared" ca="1" si="0"/>
        <v>1572.846</v>
      </c>
      <c r="T9" s="3">
        <f t="shared" ca="1" si="0"/>
        <v>1573.077</v>
      </c>
      <c r="U9" s="3">
        <f t="shared" ca="1" si="0"/>
        <v>1572.528</v>
      </c>
      <c r="W9" s="3">
        <f t="shared" ca="1" si="3"/>
        <v>1572.7507000000001</v>
      </c>
      <c r="Y9" s="3">
        <f ca="1">Total!E9</f>
        <v>1570.17</v>
      </c>
      <c r="AB9" s="3">
        <f t="shared" ca="1" si="1"/>
        <v>1.650139793780224E-3</v>
      </c>
      <c r="AC9" s="3">
        <f t="shared" ca="1" si="1"/>
        <v>1.6208436029218781E-3</v>
      </c>
      <c r="AD9" s="3">
        <f t="shared" ca="1" si="1"/>
        <v>1.1521045491889215E-3</v>
      </c>
      <c r="AE9" s="3">
        <f t="shared" ca="1" si="1"/>
        <v>1.5055694606316721E-3</v>
      </c>
      <c r="AF9" s="3">
        <f t="shared" ca="1" si="1"/>
        <v>1.9507441869350925E-3</v>
      </c>
      <c r="AG9" s="3">
        <f t="shared" ca="1" si="1"/>
        <v>1.8418387817878479E-3</v>
      </c>
      <c r="AH9" s="3">
        <f t="shared" ca="1" si="1"/>
        <v>1.6571454046376262E-3</v>
      </c>
      <c r="AI9" s="3">
        <f t="shared" ca="1" si="1"/>
        <v>1.7042740594966983E-3</v>
      </c>
      <c r="AJ9" s="3">
        <f t="shared" ca="1" si="1"/>
        <v>1.8513918875025794E-3</v>
      </c>
      <c r="AK9" s="3">
        <f t="shared" ca="1" si="1"/>
        <v>1.5017482183457506E-3</v>
      </c>
      <c r="AM9" s="3">
        <f t="shared" ca="1" si="4"/>
        <v>1.6435799945228292E-2</v>
      </c>
    </row>
    <row r="10" spans="1:39" x14ac:dyDescent="0.25">
      <c r="A10" s="3" t="s">
        <v>2</v>
      </c>
      <c r="B10" s="3">
        <v>24</v>
      </c>
      <c r="C10" s="3">
        <v>1</v>
      </c>
      <c r="D10" s="3">
        <v>56007.483</v>
      </c>
      <c r="E10" s="3">
        <v>1.242</v>
      </c>
      <c r="F10" s="3">
        <v>131</v>
      </c>
      <c r="H10" s="3" t="s">
        <v>28</v>
      </c>
      <c r="I10" s="3">
        <v>100</v>
      </c>
      <c r="J10" s="3">
        <v>1</v>
      </c>
      <c r="L10" s="3">
        <f t="shared" ca="1" si="2"/>
        <v>3302.7910000000002</v>
      </c>
      <c r="M10" s="3">
        <f t="shared" ca="1" si="0"/>
        <v>3296.1590000000001</v>
      </c>
      <c r="N10" s="3">
        <f t="shared" ca="1" si="0"/>
        <v>3305.3910000000001</v>
      </c>
      <c r="O10" s="3">
        <f t="shared" ca="1" si="0"/>
        <v>3303.3270000000002</v>
      </c>
      <c r="P10" s="3">
        <f t="shared" ca="1" si="0"/>
        <v>3302.5720000000001</v>
      </c>
      <c r="Q10" s="3">
        <f t="shared" ca="1" si="0"/>
        <v>3302.6889999999999</v>
      </c>
      <c r="R10" s="3">
        <f t="shared" ca="1" si="0"/>
        <v>3300.1550000000002</v>
      </c>
      <c r="S10" s="3">
        <f t="shared" ca="1" si="0"/>
        <v>3297.2510000000002</v>
      </c>
      <c r="T10" s="3">
        <f t="shared" ca="1" si="0"/>
        <v>3303.5630000000001</v>
      </c>
      <c r="U10" s="3">
        <f t="shared" ca="1" si="0"/>
        <v>3299.877</v>
      </c>
      <c r="W10" s="3">
        <f t="shared" ca="1" si="3"/>
        <v>3301.3775000000001</v>
      </c>
      <c r="Y10" s="3">
        <f ca="1">Total!E10</f>
        <v>3290.5340000000001</v>
      </c>
      <c r="AB10" s="3">
        <f t="shared" ca="1" si="1"/>
        <v>3.7249273218268103E-3</v>
      </c>
      <c r="AC10" s="3">
        <f t="shared" ca="1" si="1"/>
        <v>1.7094489830525987E-3</v>
      </c>
      <c r="AD10" s="3">
        <f t="shared" ca="1" si="1"/>
        <v>4.5150726295488724E-3</v>
      </c>
      <c r="AE10" s="3">
        <f t="shared" ca="1" si="1"/>
        <v>3.8878188160341512E-3</v>
      </c>
      <c r="AF10" s="3">
        <f t="shared" ca="1" si="1"/>
        <v>3.6583727747532802E-3</v>
      </c>
      <c r="AG10" s="3">
        <f t="shared" ca="1" si="1"/>
        <v>3.6939293136006935E-3</v>
      </c>
      <c r="AH10" s="3">
        <f t="shared" ca="1" si="1"/>
        <v>2.9238415406131935E-3</v>
      </c>
      <c r="AI10" s="3">
        <f t="shared" ca="1" si="1"/>
        <v>2.0413100122959062E-3</v>
      </c>
      <c r="AJ10" s="3">
        <f t="shared" ca="1" si="1"/>
        <v>3.9595396978119651E-3</v>
      </c>
      <c r="AK10" s="3">
        <f t="shared" ca="1" si="1"/>
        <v>2.8393567730951412E-3</v>
      </c>
      <c r="AM10" s="3">
        <f t="shared" ca="1" si="4"/>
        <v>3.2953617862632609E-2</v>
      </c>
    </row>
    <row r="11" spans="1:39" x14ac:dyDescent="0.25">
      <c r="A11" s="3" t="s">
        <v>2</v>
      </c>
      <c r="B11" s="3">
        <v>47</v>
      </c>
      <c r="C11" s="3">
        <v>1</v>
      </c>
      <c r="D11" s="3">
        <v>126292.52899999999</v>
      </c>
      <c r="E11" s="3">
        <v>4.157</v>
      </c>
      <c r="F11" s="3">
        <v>123</v>
      </c>
    </row>
    <row r="12" spans="1:39" x14ac:dyDescent="0.25">
      <c r="A12" s="3" t="s">
        <v>2</v>
      </c>
      <c r="B12" s="3">
        <v>47</v>
      </c>
      <c r="C12" s="3">
        <v>1</v>
      </c>
      <c r="D12" s="3">
        <v>126233.179</v>
      </c>
      <c r="E12" s="3">
        <v>4.1559999999999997</v>
      </c>
      <c r="F12" s="3">
        <v>123</v>
      </c>
    </row>
    <row r="13" spans="1:39" x14ac:dyDescent="0.25">
      <c r="A13" s="3" t="s">
        <v>2</v>
      </c>
      <c r="B13" s="3">
        <v>47</v>
      </c>
      <c r="C13" s="3">
        <v>1</v>
      </c>
      <c r="D13" s="3">
        <v>126172.837</v>
      </c>
      <c r="E13" s="3">
        <v>4.1550000000000002</v>
      </c>
      <c r="F13" s="3">
        <v>126</v>
      </c>
    </row>
    <row r="14" spans="1:39" x14ac:dyDescent="0.25">
      <c r="A14" s="3" t="s">
        <v>2</v>
      </c>
      <c r="B14" s="3">
        <v>47</v>
      </c>
      <c r="C14" s="3">
        <v>1</v>
      </c>
      <c r="D14" s="3">
        <v>126313.26300000001</v>
      </c>
      <c r="E14" s="3">
        <v>4.16</v>
      </c>
      <c r="F14" s="3">
        <v>121</v>
      </c>
    </row>
    <row r="15" spans="1:39" x14ac:dyDescent="0.25">
      <c r="A15" s="3" t="s">
        <v>2</v>
      </c>
      <c r="B15" s="3">
        <v>47</v>
      </c>
      <c r="C15" s="3">
        <v>1</v>
      </c>
      <c r="D15" s="3">
        <v>126428.402</v>
      </c>
      <c r="E15" s="3">
        <v>4.1479999999999997</v>
      </c>
      <c r="F15" s="3">
        <v>125</v>
      </c>
    </row>
    <row r="16" spans="1:39" x14ac:dyDescent="0.25">
      <c r="A16" s="3" t="s">
        <v>2</v>
      </c>
      <c r="B16" s="3">
        <v>47</v>
      </c>
      <c r="C16" s="3">
        <v>1</v>
      </c>
      <c r="D16" s="3">
        <v>126214.838</v>
      </c>
      <c r="E16" s="3">
        <v>4.1630000000000003</v>
      </c>
      <c r="F16" s="3">
        <v>122</v>
      </c>
    </row>
    <row r="17" spans="1:6" x14ac:dyDescent="0.25">
      <c r="A17" s="3" t="s">
        <v>2</v>
      </c>
      <c r="B17" s="3">
        <v>47</v>
      </c>
      <c r="C17" s="3">
        <v>1</v>
      </c>
      <c r="D17" s="3">
        <v>126313.731</v>
      </c>
      <c r="E17" s="3">
        <v>4.1509999999999998</v>
      </c>
      <c r="F17" s="3">
        <v>123</v>
      </c>
    </row>
    <row r="18" spans="1:6" x14ac:dyDescent="0.25">
      <c r="A18" s="3" t="s">
        <v>2</v>
      </c>
      <c r="B18" s="3">
        <v>47</v>
      </c>
      <c r="C18" s="3">
        <v>1</v>
      </c>
      <c r="D18" s="3">
        <v>126262.10799999999</v>
      </c>
      <c r="E18" s="3">
        <v>4.1630000000000003</v>
      </c>
      <c r="F18" s="3">
        <v>119</v>
      </c>
    </row>
    <row r="19" spans="1:6" x14ac:dyDescent="0.25">
      <c r="A19" s="3" t="s">
        <v>2</v>
      </c>
      <c r="B19" s="3">
        <v>47</v>
      </c>
      <c r="C19" s="3">
        <v>1</v>
      </c>
      <c r="D19" s="3">
        <v>126212.083</v>
      </c>
      <c r="E19" s="3">
        <v>4.1500000000000004</v>
      </c>
      <c r="F19" s="3">
        <v>127</v>
      </c>
    </row>
    <row r="20" spans="1:6" x14ac:dyDescent="0.25">
      <c r="A20" s="3" t="s">
        <v>2</v>
      </c>
      <c r="B20" s="3">
        <v>47</v>
      </c>
      <c r="C20" s="3">
        <v>1</v>
      </c>
      <c r="D20" s="3">
        <v>126195.504</v>
      </c>
      <c r="E20" s="3">
        <v>4.1630000000000003</v>
      </c>
      <c r="F20" s="3">
        <v>122</v>
      </c>
    </row>
    <row r="21" spans="1:6" x14ac:dyDescent="0.25">
      <c r="A21" s="3" t="s">
        <v>2</v>
      </c>
      <c r="B21" s="3">
        <v>100</v>
      </c>
      <c r="C21" s="3">
        <v>1</v>
      </c>
      <c r="D21" s="3">
        <v>1216746.264</v>
      </c>
      <c r="E21" s="3">
        <v>22.184000000000001</v>
      </c>
      <c r="F21" s="3">
        <v>132</v>
      </c>
    </row>
    <row r="22" spans="1:6" x14ac:dyDescent="0.25">
      <c r="A22" s="3" t="s">
        <v>2</v>
      </c>
      <c r="B22" s="3">
        <v>100</v>
      </c>
      <c r="C22" s="3">
        <v>1</v>
      </c>
      <c r="D22" s="3">
        <v>1217108.368</v>
      </c>
      <c r="E22" s="3">
        <v>22.108000000000001</v>
      </c>
      <c r="F22" s="3">
        <v>132</v>
      </c>
    </row>
    <row r="23" spans="1:6" x14ac:dyDescent="0.25">
      <c r="A23" s="3" t="s">
        <v>2</v>
      </c>
      <c r="B23" s="3">
        <v>100</v>
      </c>
      <c r="C23" s="3">
        <v>1</v>
      </c>
      <c r="D23" s="3">
        <v>1217023.686</v>
      </c>
      <c r="E23" s="3">
        <v>22.152000000000001</v>
      </c>
      <c r="F23" s="3">
        <v>134</v>
      </c>
    </row>
    <row r="24" spans="1:6" x14ac:dyDescent="0.25">
      <c r="A24" s="3" t="s">
        <v>2</v>
      </c>
      <c r="B24" s="3">
        <v>100</v>
      </c>
      <c r="C24" s="3">
        <v>1</v>
      </c>
      <c r="D24" s="3">
        <v>1217524.345</v>
      </c>
      <c r="E24" s="3">
        <v>22.094000000000001</v>
      </c>
      <c r="F24" s="3">
        <v>132</v>
      </c>
    </row>
    <row r="25" spans="1:6" x14ac:dyDescent="0.25">
      <c r="A25" s="3" t="s">
        <v>2</v>
      </c>
      <c r="B25" s="3">
        <v>100</v>
      </c>
      <c r="C25" s="3">
        <v>1</v>
      </c>
      <c r="D25" s="3">
        <v>1217053.152</v>
      </c>
      <c r="E25" s="3">
        <v>22.17</v>
      </c>
      <c r="F25" s="3">
        <v>133</v>
      </c>
    </row>
    <row r="26" spans="1:6" x14ac:dyDescent="0.25">
      <c r="A26" s="3" t="s">
        <v>2</v>
      </c>
      <c r="B26" s="3">
        <v>100</v>
      </c>
      <c r="C26" s="3">
        <v>1</v>
      </c>
      <c r="D26" s="3">
        <v>1216926.953</v>
      </c>
      <c r="E26" s="3">
        <v>22.116</v>
      </c>
      <c r="F26" s="3">
        <v>132</v>
      </c>
    </row>
    <row r="27" spans="1:6" x14ac:dyDescent="0.25">
      <c r="A27" s="3" t="s">
        <v>2</v>
      </c>
      <c r="B27" s="3">
        <v>100</v>
      </c>
      <c r="C27" s="3">
        <v>1</v>
      </c>
      <c r="D27" s="3">
        <v>1216870.148</v>
      </c>
      <c r="E27" s="3">
        <v>22.137</v>
      </c>
      <c r="F27" s="3">
        <v>131</v>
      </c>
    </row>
    <row r="28" spans="1:6" x14ac:dyDescent="0.25">
      <c r="A28" s="3" t="s">
        <v>2</v>
      </c>
      <c r="B28" s="3">
        <v>100</v>
      </c>
      <c r="C28" s="3">
        <v>1</v>
      </c>
      <c r="D28" s="3">
        <v>1217146.2860000001</v>
      </c>
      <c r="E28" s="3">
        <v>22.187000000000001</v>
      </c>
      <c r="F28" s="3">
        <v>132</v>
      </c>
    </row>
    <row r="29" spans="1:6" x14ac:dyDescent="0.25">
      <c r="A29" s="3" t="s">
        <v>2</v>
      </c>
      <c r="B29" s="3">
        <v>100</v>
      </c>
      <c r="C29" s="3">
        <v>1</v>
      </c>
      <c r="D29" s="3">
        <v>1217726.351</v>
      </c>
      <c r="E29" s="3">
        <v>22.097999999999999</v>
      </c>
      <c r="F29" s="3">
        <v>131</v>
      </c>
    </row>
    <row r="30" spans="1:6" x14ac:dyDescent="0.25">
      <c r="A30" s="3" t="s">
        <v>2</v>
      </c>
      <c r="B30" s="3">
        <v>100</v>
      </c>
      <c r="C30" s="3">
        <v>1</v>
      </c>
      <c r="D30" s="3">
        <v>1216857.6059999999</v>
      </c>
      <c r="E30" s="3">
        <v>22.149000000000001</v>
      </c>
      <c r="F30" s="3">
        <v>132</v>
      </c>
    </row>
    <row r="31" spans="1:6" x14ac:dyDescent="0.25">
      <c r="A31" s="3" t="s">
        <v>1</v>
      </c>
      <c r="B31" s="3">
        <v>30</v>
      </c>
      <c r="C31" s="3">
        <v>1</v>
      </c>
      <c r="D31" s="3">
        <v>19995.416000000001</v>
      </c>
      <c r="E31" s="3">
        <v>1.349</v>
      </c>
      <c r="F31" s="3">
        <v>78</v>
      </c>
    </row>
    <row r="32" spans="1:6" x14ac:dyDescent="0.25">
      <c r="A32" s="3" t="s">
        <v>1</v>
      </c>
      <c r="B32" s="3">
        <v>30</v>
      </c>
      <c r="C32" s="3">
        <v>1</v>
      </c>
      <c r="D32" s="3">
        <v>20039.434000000001</v>
      </c>
      <c r="E32" s="3">
        <v>1.347</v>
      </c>
      <c r="F32" s="3">
        <v>84</v>
      </c>
    </row>
    <row r="33" spans="1:6" x14ac:dyDescent="0.25">
      <c r="A33" s="3" t="s">
        <v>1</v>
      </c>
      <c r="B33" s="3">
        <v>30</v>
      </c>
      <c r="C33" s="3">
        <v>1</v>
      </c>
      <c r="D33" s="3">
        <v>20005.990000000002</v>
      </c>
      <c r="E33" s="3">
        <v>1.3580000000000001</v>
      </c>
      <c r="F33" s="3">
        <v>88</v>
      </c>
    </row>
    <row r="34" spans="1:6" x14ac:dyDescent="0.25">
      <c r="A34" s="3" t="s">
        <v>1</v>
      </c>
      <c r="B34" s="3">
        <v>30</v>
      </c>
      <c r="C34" s="3">
        <v>1</v>
      </c>
      <c r="D34" s="3">
        <v>19992.778999999999</v>
      </c>
      <c r="E34" s="3">
        <v>1.359</v>
      </c>
      <c r="F34" s="3">
        <v>88</v>
      </c>
    </row>
    <row r="35" spans="1:6" x14ac:dyDescent="0.25">
      <c r="A35" s="3" t="s">
        <v>1</v>
      </c>
      <c r="B35" s="3">
        <v>30</v>
      </c>
      <c r="C35" s="3">
        <v>1</v>
      </c>
      <c r="D35" s="3">
        <v>20064.089</v>
      </c>
      <c r="E35" s="3">
        <v>1.359</v>
      </c>
      <c r="F35" s="3">
        <v>79</v>
      </c>
    </row>
    <row r="36" spans="1:6" x14ac:dyDescent="0.25">
      <c r="A36" s="3" t="s">
        <v>1</v>
      </c>
      <c r="B36" s="3">
        <v>30</v>
      </c>
      <c r="C36" s="3">
        <v>1</v>
      </c>
      <c r="D36" s="3">
        <v>20010.393</v>
      </c>
      <c r="E36" s="3">
        <v>1.3580000000000001</v>
      </c>
      <c r="F36" s="3">
        <v>82</v>
      </c>
    </row>
    <row r="37" spans="1:6" x14ac:dyDescent="0.25">
      <c r="A37" s="3" t="s">
        <v>1</v>
      </c>
      <c r="B37" s="3">
        <v>30</v>
      </c>
      <c r="C37" s="3">
        <v>1</v>
      </c>
      <c r="D37" s="3">
        <v>20013.3</v>
      </c>
      <c r="E37" s="3">
        <v>1.3480000000000001</v>
      </c>
      <c r="F37" s="3">
        <v>92</v>
      </c>
    </row>
    <row r="38" spans="1:6" x14ac:dyDescent="0.25">
      <c r="A38" s="3" t="s">
        <v>1</v>
      </c>
      <c r="B38" s="3">
        <v>30</v>
      </c>
      <c r="C38" s="3">
        <v>1</v>
      </c>
      <c r="D38" s="3">
        <v>20009.726999999999</v>
      </c>
      <c r="E38" s="3">
        <v>1.3540000000000001</v>
      </c>
      <c r="F38" s="3">
        <v>82</v>
      </c>
    </row>
    <row r="39" spans="1:6" x14ac:dyDescent="0.25">
      <c r="A39" s="3" t="s">
        <v>1</v>
      </c>
      <c r="B39" s="3">
        <v>30</v>
      </c>
      <c r="C39" s="3">
        <v>1</v>
      </c>
      <c r="D39" s="3">
        <v>20006.407999999999</v>
      </c>
      <c r="E39" s="3">
        <v>1.3460000000000001</v>
      </c>
      <c r="F39" s="3">
        <v>85</v>
      </c>
    </row>
    <row r="40" spans="1:6" x14ac:dyDescent="0.25">
      <c r="A40" s="3" t="s">
        <v>1</v>
      </c>
      <c r="B40" s="3">
        <v>30</v>
      </c>
      <c r="C40" s="3">
        <v>1</v>
      </c>
      <c r="D40" s="3">
        <v>19998.956999999999</v>
      </c>
      <c r="E40" s="3">
        <v>1.3560000000000001</v>
      </c>
      <c r="F40" s="3">
        <v>90</v>
      </c>
    </row>
    <row r="41" spans="1:6" x14ac:dyDescent="0.25">
      <c r="A41" s="3" t="s">
        <v>1</v>
      </c>
      <c r="B41" s="3">
        <v>50</v>
      </c>
      <c r="C41" s="3">
        <v>1</v>
      </c>
      <c r="D41" s="3">
        <v>35451.141000000003</v>
      </c>
      <c r="E41" s="3">
        <v>3.048</v>
      </c>
      <c r="F41" s="3">
        <v>77</v>
      </c>
    </row>
    <row r="42" spans="1:6" x14ac:dyDescent="0.25">
      <c r="A42" s="3" t="s">
        <v>1</v>
      </c>
      <c r="B42" s="3">
        <v>50</v>
      </c>
      <c r="C42" s="3">
        <v>1</v>
      </c>
      <c r="D42" s="3">
        <v>35407.682000000001</v>
      </c>
      <c r="E42" s="3">
        <v>3.0550000000000002</v>
      </c>
      <c r="F42" s="3">
        <v>80</v>
      </c>
    </row>
    <row r="43" spans="1:6" x14ac:dyDescent="0.25">
      <c r="A43" s="3" t="s">
        <v>1</v>
      </c>
      <c r="B43" s="3">
        <v>50</v>
      </c>
      <c r="C43" s="3">
        <v>1</v>
      </c>
      <c r="D43" s="3">
        <v>35467.006000000001</v>
      </c>
      <c r="E43" s="3">
        <v>3.0459999999999998</v>
      </c>
      <c r="F43" s="3">
        <v>80</v>
      </c>
    </row>
    <row r="44" spans="1:6" x14ac:dyDescent="0.25">
      <c r="A44" s="3" t="s">
        <v>1</v>
      </c>
      <c r="B44" s="3">
        <v>50</v>
      </c>
      <c r="C44" s="3">
        <v>1</v>
      </c>
      <c r="D44" s="3">
        <v>35491.533000000003</v>
      </c>
      <c r="E44" s="3">
        <v>3.0430000000000001</v>
      </c>
      <c r="F44" s="3">
        <v>76</v>
      </c>
    </row>
    <row r="45" spans="1:6" x14ac:dyDescent="0.25">
      <c r="A45" s="3" t="s">
        <v>1</v>
      </c>
      <c r="B45" s="3">
        <v>50</v>
      </c>
      <c r="C45" s="3">
        <v>1</v>
      </c>
      <c r="D45" s="3">
        <v>35358.464</v>
      </c>
      <c r="E45" s="3">
        <v>3.06</v>
      </c>
      <c r="F45" s="3">
        <v>79</v>
      </c>
    </row>
    <row r="46" spans="1:6" x14ac:dyDescent="0.25">
      <c r="A46" s="3" t="s">
        <v>1</v>
      </c>
      <c r="B46" s="3">
        <v>50</v>
      </c>
      <c r="C46" s="3">
        <v>1</v>
      </c>
      <c r="D46" s="3">
        <v>35398.245999999999</v>
      </c>
      <c r="E46" s="3">
        <v>3.0339999999999998</v>
      </c>
      <c r="F46" s="3">
        <v>78</v>
      </c>
    </row>
    <row r="47" spans="1:6" x14ac:dyDescent="0.25">
      <c r="A47" s="3" t="s">
        <v>1</v>
      </c>
      <c r="B47" s="3">
        <v>50</v>
      </c>
      <c r="C47" s="3">
        <v>1</v>
      </c>
      <c r="D47" s="3">
        <v>35387.732000000004</v>
      </c>
      <c r="E47" s="3">
        <v>3.044</v>
      </c>
      <c r="F47" s="3">
        <v>77</v>
      </c>
    </row>
    <row r="48" spans="1:6" x14ac:dyDescent="0.25">
      <c r="A48" s="3" t="s">
        <v>1</v>
      </c>
      <c r="B48" s="3">
        <v>50</v>
      </c>
      <c r="C48" s="3">
        <v>1</v>
      </c>
      <c r="D48" s="3">
        <v>35507.821000000004</v>
      </c>
      <c r="E48" s="3">
        <v>3.0329999999999999</v>
      </c>
      <c r="F48" s="3">
        <v>79</v>
      </c>
    </row>
    <row r="49" spans="1:6" x14ac:dyDescent="0.25">
      <c r="A49" s="3" t="s">
        <v>1</v>
      </c>
      <c r="B49" s="3">
        <v>50</v>
      </c>
      <c r="C49" s="3">
        <v>1</v>
      </c>
      <c r="D49" s="3">
        <v>35515.743999999999</v>
      </c>
      <c r="E49" s="3">
        <v>3.04</v>
      </c>
      <c r="F49" s="3">
        <v>76</v>
      </c>
    </row>
    <row r="50" spans="1:6" x14ac:dyDescent="0.25">
      <c r="A50" s="3" t="s">
        <v>1</v>
      </c>
      <c r="B50" s="3">
        <v>50</v>
      </c>
      <c r="C50" s="3">
        <v>1</v>
      </c>
      <c r="D50" s="3">
        <v>35432.313000000002</v>
      </c>
      <c r="E50" s="3">
        <v>3.0609999999999999</v>
      </c>
      <c r="F50" s="3">
        <v>79</v>
      </c>
    </row>
    <row r="51" spans="1:6" x14ac:dyDescent="0.25">
      <c r="A51" s="3" t="s">
        <v>1</v>
      </c>
      <c r="B51" s="3">
        <v>100</v>
      </c>
      <c r="C51" s="3">
        <v>1</v>
      </c>
      <c r="D51" s="3">
        <v>63190.709000000003</v>
      </c>
      <c r="E51" s="3">
        <v>11.776999999999999</v>
      </c>
      <c r="F51" s="3">
        <v>71</v>
      </c>
    </row>
    <row r="52" spans="1:6" x14ac:dyDescent="0.25">
      <c r="A52" s="3" t="s">
        <v>1</v>
      </c>
      <c r="B52" s="3">
        <v>100</v>
      </c>
      <c r="C52" s="3">
        <v>1</v>
      </c>
      <c r="D52" s="3">
        <v>63183.82</v>
      </c>
      <c r="E52" s="3">
        <v>11.755000000000001</v>
      </c>
      <c r="F52" s="3">
        <v>71</v>
      </c>
    </row>
    <row r="53" spans="1:6" x14ac:dyDescent="0.25">
      <c r="A53" s="3" t="s">
        <v>1</v>
      </c>
      <c r="B53" s="3">
        <v>100</v>
      </c>
      <c r="C53" s="3">
        <v>1</v>
      </c>
      <c r="D53" s="3">
        <v>63213.932999999997</v>
      </c>
      <c r="E53" s="3">
        <v>11.742000000000001</v>
      </c>
      <c r="F53" s="3">
        <v>71</v>
      </c>
    </row>
    <row r="54" spans="1:6" x14ac:dyDescent="0.25">
      <c r="A54" s="3" t="s">
        <v>1</v>
      </c>
      <c r="B54" s="3">
        <v>100</v>
      </c>
      <c r="C54" s="3">
        <v>1</v>
      </c>
      <c r="D54" s="3">
        <v>63115.625</v>
      </c>
      <c r="E54" s="3">
        <v>11.775</v>
      </c>
      <c r="F54" s="3">
        <v>71</v>
      </c>
    </row>
    <row r="55" spans="1:6" x14ac:dyDescent="0.25">
      <c r="A55" s="3" t="s">
        <v>1</v>
      </c>
      <c r="B55" s="3">
        <v>100</v>
      </c>
      <c r="C55" s="3">
        <v>1</v>
      </c>
      <c r="D55" s="3">
        <v>63270.745999999999</v>
      </c>
      <c r="E55" s="3">
        <v>11.68</v>
      </c>
      <c r="F55" s="3">
        <v>70</v>
      </c>
    </row>
    <row r="56" spans="1:6" x14ac:dyDescent="0.25">
      <c r="A56" s="3" t="s">
        <v>1</v>
      </c>
      <c r="B56" s="3">
        <v>100</v>
      </c>
      <c r="C56" s="3">
        <v>1</v>
      </c>
      <c r="D56" s="3">
        <v>63120.186000000002</v>
      </c>
      <c r="E56" s="3">
        <v>11.768000000000001</v>
      </c>
      <c r="F56" s="3">
        <v>71</v>
      </c>
    </row>
    <row r="57" spans="1:6" x14ac:dyDescent="0.25">
      <c r="A57" s="3" t="s">
        <v>1</v>
      </c>
      <c r="B57" s="3">
        <v>100</v>
      </c>
      <c r="C57" s="3">
        <v>1</v>
      </c>
      <c r="D57" s="3">
        <v>63216.546999999999</v>
      </c>
      <c r="E57" s="3">
        <v>11.76</v>
      </c>
      <c r="F57" s="3">
        <v>71</v>
      </c>
    </row>
    <row r="58" spans="1:6" x14ac:dyDescent="0.25">
      <c r="A58" s="3" t="s">
        <v>1</v>
      </c>
      <c r="B58" s="3">
        <v>100</v>
      </c>
      <c r="C58" s="3">
        <v>1</v>
      </c>
      <c r="D58" s="3">
        <v>63199.355000000003</v>
      </c>
      <c r="E58" s="3">
        <v>11.737</v>
      </c>
      <c r="F58" s="3">
        <v>71</v>
      </c>
    </row>
    <row r="59" spans="1:6" x14ac:dyDescent="0.25">
      <c r="A59" s="3" t="s">
        <v>1</v>
      </c>
      <c r="B59" s="3">
        <v>100</v>
      </c>
      <c r="C59" s="3">
        <v>1</v>
      </c>
      <c r="D59" s="3">
        <v>63203.732000000004</v>
      </c>
      <c r="E59" s="3">
        <v>11.760999999999999</v>
      </c>
      <c r="F59" s="3">
        <v>71</v>
      </c>
    </row>
    <row r="60" spans="1:6" x14ac:dyDescent="0.25">
      <c r="A60" s="3" t="s">
        <v>1</v>
      </c>
      <c r="B60" s="3">
        <v>100</v>
      </c>
      <c r="C60" s="3">
        <v>1</v>
      </c>
      <c r="D60" s="3">
        <v>63119.608999999997</v>
      </c>
      <c r="E60" s="3">
        <v>11.706</v>
      </c>
      <c r="F60" s="3">
        <v>72</v>
      </c>
    </row>
    <row r="61" spans="1:6" x14ac:dyDescent="0.25">
      <c r="A61" s="3" t="s">
        <v>0</v>
      </c>
      <c r="B61" s="3">
        <v>25</v>
      </c>
      <c r="C61" s="3">
        <v>1</v>
      </c>
      <c r="D61" s="3">
        <v>722.96699999999998</v>
      </c>
      <c r="E61" s="3">
        <v>0.90200000000000002</v>
      </c>
      <c r="F61" s="3">
        <v>81</v>
      </c>
    </row>
    <row r="62" spans="1:6" x14ac:dyDescent="0.25">
      <c r="A62" s="3" t="s">
        <v>0</v>
      </c>
      <c r="B62" s="3">
        <v>25</v>
      </c>
      <c r="C62" s="3">
        <v>1</v>
      </c>
      <c r="D62" s="3">
        <v>723.66899999999998</v>
      </c>
      <c r="E62" s="3">
        <v>0.90200000000000002</v>
      </c>
      <c r="F62" s="3">
        <v>90</v>
      </c>
    </row>
    <row r="63" spans="1:6" x14ac:dyDescent="0.25">
      <c r="A63" s="3" t="s">
        <v>0</v>
      </c>
      <c r="B63" s="3">
        <v>25</v>
      </c>
      <c r="C63" s="3">
        <v>1</v>
      </c>
      <c r="D63" s="3">
        <v>723.51900000000001</v>
      </c>
      <c r="E63" s="3">
        <v>0.90500000000000003</v>
      </c>
      <c r="F63" s="3">
        <v>88</v>
      </c>
    </row>
    <row r="64" spans="1:6" x14ac:dyDescent="0.25">
      <c r="A64" s="3" t="s">
        <v>0</v>
      </c>
      <c r="B64" s="3">
        <v>25</v>
      </c>
      <c r="C64" s="3">
        <v>1</v>
      </c>
      <c r="D64" s="3">
        <v>722.98500000000001</v>
      </c>
      <c r="E64" s="3">
        <v>0.90500000000000003</v>
      </c>
      <c r="F64" s="3">
        <v>92</v>
      </c>
    </row>
    <row r="65" spans="1:6" x14ac:dyDescent="0.25">
      <c r="A65" s="3" t="s">
        <v>0</v>
      </c>
      <c r="B65" s="3">
        <v>25</v>
      </c>
      <c r="C65" s="3">
        <v>1</v>
      </c>
      <c r="D65" s="3">
        <v>723.03399999999999</v>
      </c>
      <c r="E65" s="3">
        <v>0.92800000000000005</v>
      </c>
      <c r="F65" s="3">
        <v>89</v>
      </c>
    </row>
    <row r="66" spans="1:6" x14ac:dyDescent="0.25">
      <c r="A66" s="3" t="s">
        <v>0</v>
      </c>
      <c r="B66" s="3">
        <v>25</v>
      </c>
      <c r="C66" s="3">
        <v>1</v>
      </c>
      <c r="D66" s="3">
        <v>722.96699999999998</v>
      </c>
      <c r="E66" s="3">
        <v>0.90900000000000003</v>
      </c>
      <c r="F66" s="3">
        <v>93</v>
      </c>
    </row>
    <row r="67" spans="1:6" x14ac:dyDescent="0.25">
      <c r="A67" s="3" t="s">
        <v>0</v>
      </c>
      <c r="B67" s="3">
        <v>25</v>
      </c>
      <c r="C67" s="3">
        <v>1</v>
      </c>
      <c r="D67" s="3">
        <v>723.27800000000002</v>
      </c>
      <c r="E67" s="3">
        <v>0.90200000000000002</v>
      </c>
      <c r="F67" s="3">
        <v>88</v>
      </c>
    </row>
    <row r="68" spans="1:6" x14ac:dyDescent="0.25">
      <c r="A68" s="3" t="s">
        <v>0</v>
      </c>
      <c r="B68" s="3">
        <v>25</v>
      </c>
      <c r="C68" s="3">
        <v>1</v>
      </c>
      <c r="D68" s="3">
        <v>723.36199999999997</v>
      </c>
      <c r="E68" s="3">
        <v>0.90300000000000002</v>
      </c>
      <c r="F68" s="3">
        <v>91</v>
      </c>
    </row>
    <row r="69" spans="1:6" x14ac:dyDescent="0.25">
      <c r="A69" s="3" t="s">
        <v>0</v>
      </c>
      <c r="B69" s="3">
        <v>25</v>
      </c>
      <c r="C69" s="3">
        <v>1</v>
      </c>
      <c r="D69" s="3">
        <v>722.96500000000003</v>
      </c>
      <c r="E69" s="3">
        <v>0.90600000000000003</v>
      </c>
      <c r="F69" s="3">
        <v>86</v>
      </c>
    </row>
    <row r="70" spans="1:6" x14ac:dyDescent="0.25">
      <c r="A70" s="3" t="s">
        <v>0</v>
      </c>
      <c r="B70" s="3">
        <v>25</v>
      </c>
      <c r="C70" s="3">
        <v>1</v>
      </c>
      <c r="D70" s="3">
        <v>723.69100000000003</v>
      </c>
      <c r="E70" s="3">
        <v>0.90100000000000002</v>
      </c>
      <c r="F70" s="3">
        <v>83</v>
      </c>
    </row>
    <row r="71" spans="1:6" x14ac:dyDescent="0.25">
      <c r="A71" s="3" t="s">
        <v>0</v>
      </c>
      <c r="B71" s="3">
        <v>50</v>
      </c>
      <c r="C71" s="3">
        <v>1</v>
      </c>
      <c r="D71" s="3">
        <v>1572.761</v>
      </c>
      <c r="E71" s="3">
        <v>3.3839999999999999</v>
      </c>
      <c r="F71" s="3">
        <v>88</v>
      </c>
    </row>
    <row r="72" spans="1:6" x14ac:dyDescent="0.25">
      <c r="A72" s="3" t="s">
        <v>0</v>
      </c>
      <c r="B72" s="3">
        <v>50</v>
      </c>
      <c r="C72" s="3">
        <v>1</v>
      </c>
      <c r="D72" s="3">
        <v>1572.7149999999999</v>
      </c>
      <c r="E72" s="3">
        <v>3.3690000000000002</v>
      </c>
      <c r="F72" s="3">
        <v>89</v>
      </c>
    </row>
    <row r="73" spans="1:6" x14ac:dyDescent="0.25">
      <c r="A73" s="3" t="s">
        <v>0</v>
      </c>
      <c r="B73" s="3">
        <v>50</v>
      </c>
      <c r="C73" s="3">
        <v>1</v>
      </c>
      <c r="D73" s="3">
        <v>1571.979</v>
      </c>
      <c r="E73" s="3">
        <v>3.3919999999999999</v>
      </c>
      <c r="F73" s="3">
        <v>87</v>
      </c>
    </row>
    <row r="74" spans="1:6" x14ac:dyDescent="0.25">
      <c r="A74" s="3" t="s">
        <v>0</v>
      </c>
      <c r="B74" s="3">
        <v>50</v>
      </c>
      <c r="C74" s="3">
        <v>1</v>
      </c>
      <c r="D74" s="3">
        <v>1572.5340000000001</v>
      </c>
      <c r="E74" s="3">
        <v>3.3839999999999999</v>
      </c>
      <c r="F74" s="3">
        <v>87</v>
      </c>
    </row>
    <row r="75" spans="1:6" x14ac:dyDescent="0.25">
      <c r="A75" s="3" t="s">
        <v>0</v>
      </c>
      <c r="B75" s="3">
        <v>50</v>
      </c>
      <c r="C75" s="3">
        <v>1</v>
      </c>
      <c r="D75" s="3">
        <v>1573.2329999999999</v>
      </c>
      <c r="E75" s="3">
        <v>3.3860000000000001</v>
      </c>
      <c r="F75" s="3">
        <v>88</v>
      </c>
    </row>
    <row r="76" spans="1:6" x14ac:dyDescent="0.25">
      <c r="A76" s="3" t="s">
        <v>0</v>
      </c>
      <c r="B76" s="3">
        <v>50</v>
      </c>
      <c r="C76" s="3">
        <v>1</v>
      </c>
      <c r="D76" s="3">
        <v>1573.0619999999999</v>
      </c>
      <c r="E76" s="3">
        <v>3.3849999999999998</v>
      </c>
      <c r="F76" s="3">
        <v>89</v>
      </c>
    </row>
    <row r="77" spans="1:6" x14ac:dyDescent="0.25">
      <c r="A77" s="3" t="s">
        <v>0</v>
      </c>
      <c r="B77" s="3">
        <v>50</v>
      </c>
      <c r="C77" s="3">
        <v>1</v>
      </c>
      <c r="D77" s="3">
        <v>1572.7719999999999</v>
      </c>
      <c r="E77" s="3">
        <v>3.371</v>
      </c>
      <c r="F77" s="3">
        <v>87</v>
      </c>
    </row>
    <row r="78" spans="1:6" x14ac:dyDescent="0.25">
      <c r="A78" s="3" t="s">
        <v>0</v>
      </c>
      <c r="B78" s="3">
        <v>50</v>
      </c>
      <c r="C78" s="3">
        <v>1</v>
      </c>
      <c r="D78" s="3">
        <v>1572.846</v>
      </c>
      <c r="E78" s="3">
        <v>3.371</v>
      </c>
      <c r="F78" s="3">
        <v>88</v>
      </c>
    </row>
    <row r="79" spans="1:6" x14ac:dyDescent="0.25">
      <c r="A79" s="3" t="s">
        <v>0</v>
      </c>
      <c r="B79" s="3">
        <v>50</v>
      </c>
      <c r="C79" s="3">
        <v>1</v>
      </c>
      <c r="D79" s="3">
        <v>1573.077</v>
      </c>
      <c r="E79" s="3">
        <v>3.37</v>
      </c>
      <c r="F79" s="3">
        <v>88</v>
      </c>
    </row>
    <row r="80" spans="1:6" x14ac:dyDescent="0.25">
      <c r="A80" s="3" t="s">
        <v>0</v>
      </c>
      <c r="B80" s="3">
        <v>50</v>
      </c>
      <c r="C80" s="3">
        <v>1</v>
      </c>
      <c r="D80" s="3">
        <v>1572.528</v>
      </c>
      <c r="E80" s="3">
        <v>3.3889999999999998</v>
      </c>
      <c r="F80" s="3">
        <v>88</v>
      </c>
    </row>
    <row r="81" spans="1:6" x14ac:dyDescent="0.25">
      <c r="A81" s="3" t="s">
        <v>0</v>
      </c>
      <c r="B81" s="3">
        <v>100</v>
      </c>
      <c r="C81" s="3">
        <v>1</v>
      </c>
      <c r="D81" s="3">
        <v>3302.7910000000002</v>
      </c>
      <c r="E81" s="3">
        <v>11.331</v>
      </c>
      <c r="F81" s="3">
        <v>71</v>
      </c>
    </row>
    <row r="82" spans="1:6" x14ac:dyDescent="0.25">
      <c r="A82" s="3" t="s">
        <v>0</v>
      </c>
      <c r="B82" s="3">
        <v>100</v>
      </c>
      <c r="C82" s="3">
        <v>1</v>
      </c>
      <c r="D82" s="3">
        <v>3296.1590000000001</v>
      </c>
      <c r="E82" s="3">
        <v>11.351000000000001</v>
      </c>
      <c r="F82" s="3">
        <v>69</v>
      </c>
    </row>
    <row r="83" spans="1:6" x14ac:dyDescent="0.25">
      <c r="A83" s="3" t="s">
        <v>0</v>
      </c>
      <c r="B83" s="3">
        <v>100</v>
      </c>
      <c r="C83" s="3">
        <v>1</v>
      </c>
      <c r="D83" s="3">
        <v>3305.3910000000001</v>
      </c>
      <c r="E83" s="3">
        <v>11.379</v>
      </c>
      <c r="F83" s="3">
        <v>68</v>
      </c>
    </row>
    <row r="84" spans="1:6" x14ac:dyDescent="0.25">
      <c r="A84" s="3" t="s">
        <v>0</v>
      </c>
      <c r="B84" s="3">
        <v>100</v>
      </c>
      <c r="C84" s="3">
        <v>1</v>
      </c>
      <c r="D84" s="3">
        <v>3303.3270000000002</v>
      </c>
      <c r="E84" s="3">
        <v>11.318</v>
      </c>
      <c r="F84" s="3">
        <v>68</v>
      </c>
    </row>
    <row r="85" spans="1:6" x14ac:dyDescent="0.25">
      <c r="A85" s="3" t="s">
        <v>0</v>
      </c>
      <c r="B85" s="3">
        <v>100</v>
      </c>
      <c r="C85" s="3">
        <v>1</v>
      </c>
      <c r="D85" s="3">
        <v>3302.5720000000001</v>
      </c>
      <c r="E85" s="3">
        <v>11.381</v>
      </c>
      <c r="F85" s="3">
        <v>69</v>
      </c>
    </row>
    <row r="86" spans="1:6" x14ac:dyDescent="0.25">
      <c r="A86" s="3" t="s">
        <v>0</v>
      </c>
      <c r="B86" s="3">
        <v>100</v>
      </c>
      <c r="C86" s="3">
        <v>1</v>
      </c>
      <c r="D86" s="3">
        <v>3302.6889999999999</v>
      </c>
      <c r="E86" s="3">
        <v>11.382999999999999</v>
      </c>
      <c r="F86" s="3">
        <v>69</v>
      </c>
    </row>
    <row r="87" spans="1:6" x14ac:dyDescent="0.25">
      <c r="A87" s="3" t="s">
        <v>0</v>
      </c>
      <c r="B87" s="3">
        <v>100</v>
      </c>
      <c r="C87" s="3">
        <v>1</v>
      </c>
      <c r="D87" s="3">
        <v>3300.1550000000002</v>
      </c>
      <c r="E87" s="3">
        <v>11.335000000000001</v>
      </c>
      <c r="F87" s="3">
        <v>69</v>
      </c>
    </row>
    <row r="88" spans="1:6" x14ac:dyDescent="0.25">
      <c r="A88" s="3" t="s">
        <v>0</v>
      </c>
      <c r="B88" s="3">
        <v>100</v>
      </c>
      <c r="C88" s="3">
        <v>1</v>
      </c>
      <c r="D88" s="3">
        <v>3297.2510000000002</v>
      </c>
      <c r="E88" s="3">
        <v>11.465999999999999</v>
      </c>
      <c r="F88" s="3">
        <v>69</v>
      </c>
    </row>
    <row r="89" spans="1:6" x14ac:dyDescent="0.25">
      <c r="A89" s="3" t="s">
        <v>0</v>
      </c>
      <c r="B89" s="3">
        <v>100</v>
      </c>
      <c r="C89" s="3">
        <v>1</v>
      </c>
      <c r="D89" s="3">
        <v>3303.5630000000001</v>
      </c>
      <c r="E89" s="3">
        <v>11.353999999999999</v>
      </c>
      <c r="F89" s="3">
        <v>69</v>
      </c>
    </row>
    <row r="90" spans="1:6" x14ac:dyDescent="0.25">
      <c r="A90" s="3" t="s">
        <v>0</v>
      </c>
      <c r="B90" s="3">
        <v>100</v>
      </c>
      <c r="C90" s="3">
        <v>1</v>
      </c>
      <c r="D90" s="3">
        <v>3299.877</v>
      </c>
      <c r="E90" s="3">
        <v>11.404</v>
      </c>
      <c r="F90" s="3">
        <v>69</v>
      </c>
    </row>
  </sheetData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Para.</vt:lpstr>
      <vt:lpstr>Total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2022-05-16T02:00:42Z</dcterms:modified>
</cp:coreProperties>
</file>